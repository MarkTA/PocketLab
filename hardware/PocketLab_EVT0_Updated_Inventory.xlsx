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3e55bfc7947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78d1fa39c04dd3"/>
    <x:sheet xmlns:r="http://schemas.openxmlformats.org/officeDocument/2006/relationships" name="DigiKey Inventory" sheetId="2" r:id="Rab4796956e9c4661"/>
    <x:sheet xmlns:r="http://schemas.openxmlformats.org/officeDocument/2006/relationships" name="Packlist Detail" sheetId="3" r:id="R37ed6a2342bc4771"/>
    <x:sheet xmlns:r="http://schemas.openxmlformats.org/officeDocument/2006/relationships" name="User Confirmed" sheetId="4" r:id="R02ddb25c2c424e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0F766E"/>
      <x:name val="Carlito"/>
    </x:font>
    <x:font>
      <x:b/>
      <x:sz val="16"/>
      <x:color rgb="FF17324D"/>
      <x:name val="Carlito"/>
    </x:font>
    <x:font>
      <x:b/>
      <x:sz val="11"/>
      <x:color rgb="FFFFFFFF"/>
      <x:name val="Carlito"/>
    </x:font>
    <x:font>
      <x:sz val="11"/>
      <x:color rgb="FF64748B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DDF4F0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FF4CC"/>
      </x:patternFill>
    </x:fill>
  </x:fills>
  <x:borders count="10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3" fillId="4" borderId="1" xfId="0" applyNumberFormat="1" applyFont="1" applyFill="1" applyBorder="1"/>
    <x:xf numFmtId="0" fontId="4" fillId="4" borderId="3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2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7" xfId="0" applyNumberFormat="1" applyFont="1" applyFill="1" applyBorder="1"/>
    <x:xf numFmtId="202" fontId="0" fillId="0" borderId="9" xfId="0" applyNumberFormat="1" applyFont="1" applyFill="1" applyBorder="1"/>
    <x:xf numFmtId="201" fontId="0" fillId="7" borderId="0" xfId="0" applyNumberFormat="1" applyFont="1" applyFill="1" applyBorder="1"/>
    <x:xf numFmtId="201" fontId="0" fillId="7" borderId="7" xfId="0" applyNumberFormat="1" applyFont="1" applyFill="1" applyBorder="1"/>
    <x:xf numFmtId="201" fontId="0" fillId="7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7b0de2ea148ab" /><Relationship Type="http://schemas.openxmlformats.org/officeDocument/2006/relationships/theme" Target="/xl/theme/theme1.xml" Id="Raad67274c3d94da7" /><Relationship Type="http://schemas.openxmlformats.org/officeDocument/2006/relationships/sharedStrings" Target="/xl/sharedStrings.xml" Id="Rd005ef5891b44eae" /><Relationship Type="http://schemas.openxmlformats.org/officeDocument/2006/relationships/worksheet" Target="/xl/worksheets/sheet1.xml" Id="Rb578d1fa39c04dd3" /><Relationship Type="http://schemas.openxmlformats.org/officeDocument/2006/relationships/worksheet" Target="/xl/worksheets/sheet2.xml" Id="Rab4796956e9c4661" /><Relationship Type="http://schemas.openxmlformats.org/officeDocument/2006/relationships/worksheet" Target="/xl/worksheets/sheet3.xml" Id="R37ed6a2342bc4771" /><Relationship Type="http://schemas.openxmlformats.org/officeDocument/2006/relationships/worksheet" Target="/xl/worksheets/sheet4.xml" Id="R02ddb25c2c424e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2" t="str">
        <x:v>PocketLab EVT-0 - DigiKey Inventory</x:v>
      </x:c>
      <x:c r="B1" s="2"/>
      <x:c r="C1" s="2"/>
      <x:c r="D1" s="2"/>
      <x:c r="E1" s="2"/>
      <x:c r="F1" s="2"/>
      <x:c r="G1" s="2"/>
      <x:c r="H1" s="2"/>
    </x:row>
    <x:row r="2" ht="28" customHeight="1">
      <x:c r="A2" s="5" t="str">
        <x:v>Reconciled from shipped quantities on four DigiKey packing lists; user-confirmed items are tracked separately.</x:v>
      </x:c>
      <x:c r="B2" s="5"/>
      <x:c r="C2" s="5"/>
      <x:c r="D2" s="5"/>
      <x:c r="E2" s="5"/>
      <x:c r="F2" s="5"/>
      <x:c r="G2" s="5"/>
      <x:c r="H2" s="5"/>
    </x:row>
    <x:row r="4">
      <x:c r="A4" s="11" t="str">
        <x:v>Packlists</x:v>
      </x:c>
      <x:c r="B4" s="8" t="str"/>
      <x:c r="C4" s="11" t="str">
        <x:v>Shipped line items</x:v>
      </x:c>
      <x:c r="D4" s="8" t="str"/>
      <x:c r="E4" s="11" t="str">
        <x:v>Total units shipped</x:v>
      </x:c>
      <x:c r="F4" s="8" t="str"/>
      <x:c r="G4" s="11" t="str">
        <x:v>Unique DigiKey MPNs</x:v>
      </x:c>
      <x:c r="H4" s="8" t="str"/>
    </x:row>
    <x:row r="5">
      <x:c r="A5" s="12" t="n">
        <x:f>COUNTA('Summary'!A9:A12)</x:f>
        <x:v>4</x:v>
      </x:c>
      <x:c r="B5" s="10"/>
      <x:c r="C5" s="12" t="n">
        <x:f>COUNTA('Packlist Detail'!A2:A52)</x:f>
        <x:v>51</x:v>
      </x:c>
      <x:c r="D5" s="10"/>
      <x:c r="E5" s="12" t="n">
        <x:f>SUM('Packlist Detail'!J2:J52)</x:f>
        <x:v>571</x:v>
      </x:c>
      <x:c r="F5" s="10"/>
      <x:c r="G5" s="12" t="n">
        <x:f>COUNTA('DigiKey Inventory'!C2:C52)</x:f>
        <x:v>51</x:v>
      </x:c>
      <x:c r="H5" s="10"/>
    </x:row>
    <x:row r="7">
      <x:c r="A7" s="14" t="str">
        <x:v>Packing-list reconciliation</x:v>
      </x:c>
      <x:c r="B7" s="14"/>
      <x:c r="C7" s="14"/>
      <x:c r="D7" s="14"/>
      <x:c r="E7" s="14"/>
      <x:c r="F7" s="14"/>
      <x:c r="G7" s="14"/>
      <x:c r="H7" s="14"/>
    </x:row>
    <x:row r="8">
      <x:c r="A8" s="19" t="str">
        <x:v>Source PDF</x:v>
      </x:c>
      <x:c r="B8" s="20" t="str">
        <x:v>Invoice</x:v>
      </x:c>
      <x:c r="C8" s="20" t="str">
        <x:v>Sales Order</x:v>
      </x:c>
      <x:c r="D8" s="20" t="str">
        <x:v>Order Date</x:v>
      </x:c>
      <x:c r="E8" s="20" t="str">
        <x:v>Document Date</x:v>
      </x:c>
      <x:c r="F8" s="20" t="str">
        <x:v>Line Items</x:v>
      </x:c>
      <x:c r="G8" s="20" t="str">
        <x:v>Units Shipped</x:v>
      </x:c>
      <x:c r="H8" s="21" t="str">
        <x:v>Status</x:v>
      </x:c>
    </x:row>
    <x:row r="9">
      <x:c r="A9" s="22" t="str">
        <x:v>DK_PACKLIST_129266064(1).pdf</x:v>
      </x:c>
      <x:c r="B9" s="23" t="str">
        <x:v>129266064</x:v>
      </x:c>
      <x:c r="C9" s="23" t="str">
        <x:v>100418268</x:v>
      </x:c>
      <x:c r="D9" s="24" t="n">
        <x:v>46218</x:v>
      </x:c>
      <x:c r="E9" s="24" t="n">
        <x:v>46218</x:v>
      </x:c>
      <x:c r="F9" s="25" t="n">
        <x:f>COUNTIF('Packlist Detail'!$A$2:$A$52,B9)</x:f>
        <x:v>3</x:v>
      </x:c>
      <x:c r="G9" s="25" t="n">
        <x:f>SUMIF('Packlist Detail'!$A$2:$A$52,B9,'Packlist Detail'!$J$2:$J$52)</x:f>
        <x:v>9</x:v>
      </x:c>
      <x:c r="H9" s="26" t="str">
        <x:v>Complete</x:v>
      </x:c>
    </x:row>
    <x:row r="10">
      <x:c r="A10" s="22" t="str">
        <x:v>DK_PACKLIST_129819844(1).pdf</x:v>
      </x:c>
      <x:c r="B10" s="23" t="str">
        <x:v>129819844</x:v>
      </x:c>
      <x:c r="C10" s="23" t="str">
        <x:v>100611278</x:v>
      </x:c>
      <x:c r="D10" s="24" t="n">
        <x:v>46228</x:v>
      </x:c>
      <x:c r="E10" s="24" t="n">
        <x:v>46230</x:v>
      </x:c>
      <x:c r="F10" s="25" t="n">
        <x:f>COUNTIF('Packlist Detail'!$A$2:$A$52,B10)</x:f>
        <x:v>10</x:v>
      </x:c>
      <x:c r="G10" s="25" t="n">
        <x:f>SUMIF('Packlist Detail'!$A$2:$A$52,B10,'Packlist Detail'!$J$2:$J$52)</x:f>
        <x:v>101</x:v>
      </x:c>
      <x:c r="H10" s="26" t="str">
        <x:v>Complete</x:v>
      </x:c>
    </x:row>
    <x:row r="11">
      <x:c r="A11" s="22" t="str">
        <x:v>DK_PACKLIST_130620885(1).pdf</x:v>
      </x:c>
      <x:c r="B11" s="23" t="str">
        <x:v>130620885</x:v>
      </x:c>
      <x:c r="C11" s="23" t="str">
        <x:v>100887148</x:v>
      </x:c>
      <x:c r="D11" s="24" t="n">
        <x:v>46242</x:v>
      </x:c>
      <x:c r="E11" s="24" t="n">
        <x:v>46243</x:v>
      </x:c>
      <x:c r="F11" s="25" t="n">
        <x:f>COUNTIF('Packlist Detail'!$A$2:$A$52,B11)</x:f>
        <x:v>7</x:v>
      </x:c>
      <x:c r="G11" s="25" t="n">
        <x:f>SUMIF('Packlist Detail'!$A$2:$A$52,B11,'Packlist Detail'!$J$2:$J$52)</x:f>
        <x:v>41</x:v>
      </x:c>
      <x:c r="H11" s="26" t="str">
        <x:v>Complete</x:v>
      </x:c>
    </x:row>
    <x:row r="12">
      <x:c r="A12" s="27" t="str">
        <x:v>DK_PACKLIST_131043164.pdf</x:v>
      </x:c>
      <x:c r="B12" s="28" t="str">
        <x:v>131043164</x:v>
      </x:c>
      <x:c r="C12" s="28" t="str">
        <x:v>101027459</x:v>
      </x:c>
      <x:c r="D12" s="29" t="n">
        <x:v>46251</x:v>
      </x:c>
      <x:c r="E12" s="29" t="n">
        <x:v>46252</x:v>
      </x:c>
      <x:c r="F12" s="30" t="n">
        <x:f>COUNTIF('Packlist Detail'!$A$2:$A$52,B12)</x:f>
        <x:v>31</x:v>
      </x:c>
      <x:c r="G12" s="30" t="n">
        <x:f>SUMIF('Packlist Detail'!$A$2:$A$52,B12,'Packlist Detail'!$J$2:$J$52)</x:f>
        <x:v>420</x:v>
      </x:c>
      <x:c r="H12" s="31" t="str">
        <x:v>Complete</x:v>
      </x:c>
    </x:row>
    <x:row r="14">
      <x:c r="A14" s="14" t="str">
        <x:v>Source notes</x:v>
      </x:c>
      <x:c r="B14" s="14"/>
      <x:c r="C14" s="14"/>
      <x:c r="D14" s="14"/>
      <x:c r="E14" s="14"/>
      <x:c r="F14" s="14"/>
      <x:c r="G14" s="14"/>
      <x:c r="H14" s="14"/>
    </x:row>
    <x:row r="15">
      <x:c r="A15" s="34" t="str">
        <x:v>• Quantities represent items shipped on the attached packing lists; Qty Used is intentionally initialized to zero.</x:v>
      </x:c>
      <x:c r="B15" s="34"/>
      <x:c r="C15" s="34"/>
      <x:c r="D15" s="34"/>
      <x:c r="E15" s="34"/>
      <x:c r="F15" s="34"/>
      <x:c r="G15" s="34"/>
      <x:c r="H15" s="34"/>
    </x:row>
    <x:row r="16">
      <x:c r="A16" s="34" t="str">
        <x:v>• DK_PACKLIST_131043164.pdf confirms 10 × GRM21BR61C226ME44L, 22 µF / 16 V / X5R / 0805, with zero backordered.</x:v>
      </x:c>
      <x:c r="B16" s="34"/>
      <x:c r="C16" s="34"/>
      <x:c r="D16" s="34"/>
      <x:c r="E16" s="34"/>
      <x:c r="F16" s="34"/>
      <x:c r="G16" s="34"/>
      <x:c r="H16" s="34"/>
    </x:row>
    <x:row r="17">
      <x:c r="A17" s="34" t="str">
        <x:v>• MDBT50Q-1MV2 modules are user-confirmed on hand and are excluded from DigiKey shipment totals.</x:v>
      </x:c>
      <x:c r="B17" s="34"/>
      <x:c r="C17" s="34"/>
      <x:c r="D17" s="34"/>
      <x:c r="E17" s="34"/>
      <x:c r="F17" s="34"/>
      <x:c r="G17" s="34"/>
      <x:c r="H17" s="34"/>
    </x:row>
    <x:row r="18">
      <x:c r="A18" s="34" t="str">
        <x:v>• RGV3216P-3004-B-T1 is normalized to 3 MΩ; the earlier inventory sheet incorrectly described it as 30 MΩ.</x:v>
      </x:c>
      <x:c r="B18" s="34"/>
      <x:c r="C18" s="34"/>
      <x:c r="D18" s="34"/>
      <x:c r="E18" s="34"/>
      <x:c r="F18" s="34"/>
      <x:c r="G18" s="34"/>
      <x:c r="H18" s="34"/>
    </x:row>
  </x:sheetData>
  <x:mergeCells>
    <x:mergeCell ref="A1:H1"/>
    <x:mergeCell ref="A2:H2"/>
    <x:mergeCell ref="A7:H7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7" hidden="0" customWidth="1"/>
    <x:col min="3" max="3" width="31" hidden="0" customWidth="1"/>
    <x:col min="4" max="4" width="31" hidden="0" customWidth="1"/>
    <x:col min="5" max="5" width="47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8" hidden="0" customWidth="1"/>
    <x:col min="11" max="11" width="48" hidden="0" customWidth="1"/>
  </x:cols>
  <x:sheetData>
    <x:row r="1" ht="34" customHeight="1">
      <x:c r="A1" s="19" t="str">
        <x:v>Category</x:v>
      </x:c>
      <x:c r="B1" s="20" t="str">
        <x:v>Manufacturer</x:v>
      </x:c>
      <x:c r="C1" s="20" t="str">
        <x:v>Manufacturer Part Number</x:v>
      </x:c>
      <x:c r="D1" s="20" t="str">
        <x:v>DigiKey Part Number</x:v>
      </x:c>
      <x:c r="E1" s="20" t="str">
        <x:v>Normalized Description</x:v>
      </x:c>
      <x:c r="F1" s="20" t="str">
        <x:v>Total Shipped</x:v>
      </x:c>
      <x:c r="G1" s="20" t="str">
        <x:v>Qty Used</x:v>
      </x:c>
      <x:c r="H1" s="20" t="str">
        <x:v>Qty Available</x:v>
      </x:c>
      <x:c r="I1" s="20" t="str">
        <x:v>Packlist Invoice</x:v>
      </x:c>
      <x:c r="J1" s="20" t="str">
        <x:v>Verification</x:v>
      </x:c>
      <x:c r="K1" s="21" t="str">
        <x:v>Notes</x:v>
      </x:c>
    </x:row>
    <x:row r="2">
      <x:c r="A2" s="22" t="str">
        <x:v>Capacitors</x:v>
      </x:c>
      <x:c r="B2" s="23" t="str">
        <x:v>KEMET</x:v>
      </x:c>
      <x:c r="C2" s="23" t="str">
        <x:v>C0805C103K5RACTU</x:v>
      </x:c>
      <x:c r="D2" s="23" t="str">
        <x:v>399-C0805C103K5RACTUCT-ND</x:v>
      </x:c>
      <x:c r="E2" s="41" t="str">
        <x:v>CAP CER 10000PF 50V X7R 0805</x:v>
      </x:c>
      <x:c r="F2" s="25" t="n">
        <x:f>SUMIF('Packlist Detail'!$F$2:$F$52,C2,'Packlist Detail'!$J$2:$J$52)</x:f>
        <x:v>10</x:v>
      </x:c>
      <x:c r="G2" s="39" t="n">
        <x:v>0</x:v>
      </x:c>
      <x:c r="H2" s="25" t="n">
        <x:f>MAX(0,F2-G2)</x:f>
        <x:v>10</x:v>
      </x:c>
      <x:c r="I2" s="23" t="str">
        <x:v>131043164</x:v>
      </x:c>
      <x:c r="J2" s="23" t="str">
        <x:v>Verified shipped</x:v>
      </x:c>
      <x:c r="K2" s="43" t="str"/>
    </x:row>
    <x:row r="3">
      <x:c r="A3" s="22" t="str">
        <x:v>Capacitors</x:v>
      </x:c>
      <x:c r="B3" s="23" t="str">
        <x:v>KEMET</x:v>
      </x:c>
      <x:c r="C3" s="23" t="str">
        <x:v>C0805C104K3RACTU</x:v>
      </x:c>
      <x:c r="D3" s="23" t="str">
        <x:v>399-C0805C104K3RACTUCT-ND</x:v>
      </x:c>
      <x:c r="E3" s="41" t="str">
        <x:v>CAP CER 0.1UF 25V X7R 0805</x:v>
      </x:c>
      <x:c r="F3" s="25" t="n">
        <x:f>SUMIF('Packlist Detail'!$F$2:$F$52,C3,'Packlist Detail'!$J$2:$J$52)</x:f>
        <x:v>100</x:v>
      </x:c>
      <x:c r="G3" s="39" t="n">
        <x:v>0</x:v>
      </x:c>
      <x:c r="H3" s="25" t="n">
        <x:f>MAX(0,F3-G3)</x:f>
        <x:v>100</x:v>
      </x:c>
      <x:c r="I3" s="23" t="str">
        <x:v>131043164</x:v>
      </x:c>
      <x:c r="J3" s="23" t="str">
        <x:v>Verified shipped</x:v>
      </x:c>
      <x:c r="K3" s="43" t="str"/>
    </x:row>
    <x:row r="4">
      <x:c r="A4" s="22" t="str">
        <x:v>Capacitors</x:v>
      </x:c>
      <x:c r="B4" s="23" t="str">
        <x:v>KEMET</x:v>
      </x:c>
      <x:c r="C4" s="23" t="str">
        <x:v>C0805C220J5GACTU</x:v>
      </x:c>
      <x:c r="D4" s="23" t="str">
        <x:v>399-C0805C220J5GACTUCT-ND</x:v>
      </x:c>
      <x:c r="E4" s="41" t="str">
        <x:v>CAP CER 22PF 50V C0G/NP0 0805</x:v>
      </x:c>
      <x:c r="F4" s="25" t="n">
        <x:f>SUMIF('Packlist Detail'!$F$2:$F$52,C4,'Packlist Detail'!$J$2:$J$52)</x:f>
        <x:v>10</x:v>
      </x:c>
      <x:c r="G4" s="39" t="n">
        <x:v>0</x:v>
      </x:c>
      <x:c r="H4" s="25" t="n">
        <x:f>MAX(0,F4-G4)</x:f>
        <x:v>10</x:v>
      </x:c>
      <x:c r="I4" s="23" t="str">
        <x:v>131043164</x:v>
      </x:c>
      <x:c r="J4" s="23" t="str">
        <x:v>Verified shipped</x:v>
      </x:c>
      <x:c r="K4" s="43" t="str"/>
    </x:row>
    <x:row r="5">
      <x:c r="A5" s="22" t="str">
        <x:v>Capacitors</x:v>
      </x:c>
      <x:c r="B5" s="23" t="str">
        <x:v>KYOCERA AVX</x:v>
      </x:c>
      <x:c r="C5" s="23" t="str">
        <x:v>0805YD106KAT2A</x:v>
      </x:c>
      <x:c r="D5" s="23" t="str">
        <x:v>478-5165-1-ND</x:v>
      </x:c>
      <x:c r="E5" s="41" t="str">
        <x:v>CAP CER 10UF 16V X5R 0805</x:v>
      </x:c>
      <x:c r="F5" s="25" t="n">
        <x:f>SUMIF('Packlist Detail'!$F$2:$F$52,C5,'Packlist Detail'!$J$2:$J$52)</x:f>
        <x:v>50</x:v>
      </x:c>
      <x:c r="G5" s="39" t="n">
        <x:v>0</x:v>
      </x:c>
      <x:c r="H5" s="25" t="n">
        <x:f>MAX(0,F5-G5)</x:f>
        <x:v>50</x:v>
      </x:c>
      <x:c r="I5" s="23" t="str">
        <x:v>131043164</x:v>
      </x:c>
      <x:c r="J5" s="23" t="str">
        <x:v>Verified shipped</x:v>
      </x:c>
      <x:c r="K5" s="43" t="str"/>
    </x:row>
    <x:row r="6">
      <x:c r="A6" s="22" t="str">
        <x:v>Capacitors</x:v>
      </x:c>
      <x:c r="B6" s="23" t="str">
        <x:v>Murata Electronics</x:v>
      </x:c>
      <x:c r="C6" s="23" t="str">
        <x:v>GRM21BR61C226ME44L</x:v>
      </x:c>
      <x:c r="D6" s="23" t="str">
        <x:v>490-10747-1-ND</x:v>
      </x:c>
      <x:c r="E6" s="41" t="str">
        <x:v>CAP CER 22UF 16V X5R 0805</x:v>
      </x:c>
      <x:c r="F6" s="25" t="n">
        <x:f>SUMIF('Packlist Detail'!$F$2:$F$52,C6,'Packlist Detail'!$J$2:$J$52)</x:f>
        <x:v>10</x:v>
      </x:c>
      <x:c r="G6" s="39" t="n">
        <x:v>0</x:v>
      </x:c>
      <x:c r="H6" s="25" t="n">
        <x:f>MAX(0,F6-G6)</x:f>
        <x:v>10</x:v>
      </x:c>
      <x:c r="I6" s="23" t="str">
        <x:v>131043164</x:v>
      </x:c>
      <x:c r="J6" s="23" t="str">
        <x:v>Verified shipped</x:v>
      </x:c>
      <x:c r="K6" s="43" t="str"/>
    </x:row>
    <x:row r="7">
      <x:c r="A7" s="22" t="str">
        <x:v>Capacitors</x:v>
      </x:c>
      <x:c r="B7" s="23" t="str">
        <x:v>Murata Electronics</x:v>
      </x:c>
      <x:c r="C7" s="23" t="str">
        <x:v>GRM21BR71C105KA01L</x:v>
      </x:c>
      <x:c r="D7" s="23" t="str">
        <x:v>490-1691-1-ND</x:v>
      </x:c>
      <x:c r="E7" s="41" t="str">
        <x:v>CAP CER 1UF 16V X7R 0805</x:v>
      </x:c>
      <x:c r="F7" s="25" t="n">
        <x:f>SUMIF('Packlist Detail'!$F$2:$F$52,C7,'Packlist Detail'!$J$2:$J$52)</x:f>
        <x:v>50</x:v>
      </x:c>
      <x:c r="G7" s="39" t="n">
        <x:v>0</x:v>
      </x:c>
      <x:c r="H7" s="25" t="n">
        <x:f>MAX(0,F7-G7)</x:f>
        <x:v>50</x:v>
      </x:c>
      <x:c r="I7" s="23" t="str">
        <x:v>131043164</x:v>
      </x:c>
      <x:c r="J7" s="23" t="str">
        <x:v>Verified shipped</x:v>
      </x:c>
      <x:c r="K7" s="43" t="str"/>
    </x:row>
    <x:row r="8">
      <x:c r="A8" s="22" t="str">
        <x:v>Capacitors</x:v>
      </x:c>
      <x:c r="B8" s="23" t="str">
        <x:v>Murata Electronics</x:v>
      </x:c>
      <x:c r="C8" s="23" t="str">
        <x:v>GRM21BR71C225KA12L</x:v>
      </x:c>
      <x:c r="D8" s="23" t="str">
        <x:v>490-3906-1-ND</x:v>
      </x:c>
      <x:c r="E8" s="41" t="str">
        <x:v>CAP CER 2.2UF 16V X7R 0805</x:v>
      </x:c>
      <x:c r="F8" s="25" t="n">
        <x:f>SUMIF('Packlist Detail'!$F$2:$F$52,C8,'Packlist Detail'!$J$2:$J$52)</x:f>
        <x:v>10</x:v>
      </x:c>
      <x:c r="G8" s="39" t="n">
        <x:v>0</x:v>
      </x:c>
      <x:c r="H8" s="25" t="n">
        <x:f>MAX(0,F8-G8)</x:f>
        <x:v>10</x:v>
      </x:c>
      <x:c r="I8" s="23" t="str">
        <x:v>131043164</x:v>
      </x:c>
      <x:c r="J8" s="23" t="str">
        <x:v>Verified shipped</x:v>
      </x:c>
      <x:c r="K8" s="43" t="str"/>
    </x:row>
    <x:row r="9">
      <x:c r="A9" s="22" t="str">
        <x:v>Capacitors</x:v>
      </x:c>
      <x:c r="B9" s="23" t="str">
        <x:v>Murata Electronics</x:v>
      </x:c>
      <x:c r="C9" s="23" t="str">
        <x:v>GRM21BR71C475KE51L</x:v>
      </x:c>
      <x:c r="D9" s="23" t="str">
        <x:v>490-14466-1-ND</x:v>
      </x:c>
      <x:c r="E9" s="41" t="str">
        <x:v>CAP CER 4.7UF 16V X7R 0805</x:v>
      </x:c>
      <x:c r="F9" s="25" t="n">
        <x:f>SUMIF('Packlist Detail'!$F$2:$F$52,C9,'Packlist Detail'!$J$2:$J$52)</x:f>
        <x:v>10</x:v>
      </x:c>
      <x:c r="G9" s="39" t="n">
        <x:v>0</x:v>
      </x:c>
      <x:c r="H9" s="25" t="n">
        <x:f>MAX(0,F9-G9)</x:f>
        <x:v>10</x:v>
      </x:c>
      <x:c r="I9" s="23" t="str">
        <x:v>131043164</x:v>
      </x:c>
      <x:c r="J9" s="23" t="str">
        <x:v>Verified shipped</x:v>
      </x:c>
      <x:c r="K9" s="43" t="str"/>
    </x:row>
    <x:row r="10">
      <x:c r="A10" s="22" t="str">
        <x:v>Connectors</x:v>
      </x:c>
      <x:c r="B10" s="23" t="str">
        <x:v>GCT</x:v>
      </x:c>
      <x:c r="C10" s="23" t="str">
        <x:v>USB4105-GF-A</x:v>
      </x:c>
      <x:c r="D10" s="23" t="str">
        <x:v>2073-USB4105-GF-ACT-ND</x:v>
      </x:c>
      <x:c r="E10" s="41" t="str">
        <x:v>CONN RCP USB2.0 TYP C 16P SMD RA</x:v>
      </x:c>
      <x:c r="F10" s="25" t="n">
        <x:f>SUMIF('Packlist Detail'!$F$2:$F$52,C10,'Packlist Detail'!$J$2:$J$52)</x:f>
        <x:v>3</x:v>
      </x:c>
      <x:c r="G10" s="39" t="n">
        <x:v>0</x:v>
      </x:c>
      <x:c r="H10" s="25" t="n">
        <x:f>MAX(0,F10-G10)</x:f>
        <x:v>3</x:v>
      </x:c>
      <x:c r="I10" s="23" t="str">
        <x:v>131043164</x:v>
      </x:c>
      <x:c r="J10" s="23" t="str">
        <x:v>Verified shipped</x:v>
      </x:c>
      <x:c r="K10" s="43" t="str"/>
    </x:row>
    <x:row r="11">
      <x:c r="A11" s="22" t="str">
        <x:v>Connectors</x:v>
      </x:c>
      <x:c r="B11" s="23" t="str">
        <x:v>JST Sales America Inc.</x:v>
      </x:c>
      <x:c r="C11" s="23" t="str">
        <x:v>S2B-PH-SM4-TB</x:v>
      </x:c>
      <x:c r="D11" s="23" t="str">
        <x:v>455-S2B-PH-SM4-TBCT-ND</x:v>
      </x:c>
      <x:c r="E11" s="41" t="str">
        <x:v>CONN HEADER SMD R/A 2POS 2MM</x:v>
      </x:c>
      <x:c r="F11" s="25" t="n">
        <x:f>SUMIF('Packlist Detail'!$F$2:$F$52,C11,'Packlist Detail'!$J$2:$J$52)</x:f>
        <x:v>3</x:v>
      </x:c>
      <x:c r="G11" s="39" t="n">
        <x:v>0</x:v>
      </x:c>
      <x:c r="H11" s="25" t="n">
        <x:f>MAX(0,F11-G11)</x:f>
        <x:v>3</x:v>
      </x:c>
      <x:c r="I11" s="23" t="str">
        <x:v>131043164</x:v>
      </x:c>
      <x:c r="J11" s="23" t="str">
        <x:v>Verified shipped</x:v>
      </x:c>
      <x:c r="K11" s="43" t="str"/>
    </x:row>
    <x:row r="12">
      <x:c r="A12" s="22" t="str">
        <x:v>Connectors</x:v>
      </x:c>
      <x:c r="B12" s="23" t="str">
        <x:v>Samtec Inc.</x:v>
      </x:c>
      <x:c r="C12" s="23" t="str">
        <x:v>FTSH-105-01-L-DV-K</x:v>
      </x:c>
      <x:c r="D12" s="23" t="str">
        <x:v>SAM8799-ND</x:v>
      </x:c>
      <x:c r="E12" s="41" t="str">
        <x:v>CONN HEADER SMD 10POS 1.27MM</x:v>
      </x:c>
      <x:c r="F12" s="25" t="n">
        <x:f>SUMIF('Packlist Detail'!$F$2:$F$52,C12,'Packlist Detail'!$J$2:$J$52)</x:f>
        <x:v>2</x:v>
      </x:c>
      <x:c r="G12" s="39" t="n">
        <x:v>0</x:v>
      </x:c>
      <x:c r="H12" s="25" t="n">
        <x:f>MAX(0,F12-G12)</x:f>
        <x:v>2</x:v>
      </x:c>
      <x:c r="I12" s="23" t="str">
        <x:v>131043164</x:v>
      </x:c>
      <x:c r="J12" s="23" t="str">
        <x:v>Verified shipped</x:v>
      </x:c>
      <x:c r="K12" s="43" t="str"/>
    </x:row>
    <x:row r="13">
      <x:c r="A13" s="22" t="str">
        <x:v>Crystals</x:v>
      </x:c>
      <x:c r="B13" s="23" t="str">
        <x:v>Raltron Electronics</x:v>
      </x:c>
      <x:c r="C13" s="23" t="str">
        <x:v>RT3215-32.768-12.5-TR-10PPM</x:v>
      </x:c>
      <x:c r="D13" s="23" t="str">
        <x:v>2151-RT3215-32.768-12.5-TR-10PPMCT-ND</x:v>
      </x:c>
      <x:c r="E13" s="41" t="str">
        <x:v>CRYSTAL 32.7680KHZ 12.5PF SMD</x:v>
      </x:c>
      <x:c r="F13" s="25" t="n">
        <x:f>SUMIF('Packlist Detail'!$F$2:$F$52,C13,'Packlist Detail'!$J$2:$J$52)</x:f>
        <x:v>3</x:v>
      </x:c>
      <x:c r="G13" s="39" t="n">
        <x:v>0</x:v>
      </x:c>
      <x:c r="H13" s="25" t="n">
        <x:f>MAX(0,F13-G13)</x:f>
        <x:v>3</x:v>
      </x:c>
      <x:c r="I13" s="23" t="str">
        <x:v>131043164</x:v>
      </x:c>
      <x:c r="J13" s="23" t="str">
        <x:v>Verified shipped</x:v>
      </x:c>
      <x:c r="K13" s="43" t="str"/>
    </x:row>
    <x:row r="14">
      <x:c r="A14" s="22" t="str">
        <x:v>Diodes &amp; Protection</x:v>
      </x:c>
      <x:c r="B14" s="23" t="str">
        <x:v>Diodes Incorporated</x:v>
      </x:c>
      <x:c r="C14" s="23" t="str">
        <x:v>BAV199-7-F</x:v>
      </x:c>
      <x:c r="D14" s="23" t="str">
        <x:v>BAV199-FDICT-ND</x:v>
      </x:c>
      <x:c r="E14" s="41" t="str">
        <x:v>DIODE ARRAY GP 85V 140MA SOT23-3</x:v>
      </x:c>
      <x:c r="F14" s="25" t="n">
        <x:f>SUMIF('Packlist Detail'!$F$2:$F$52,C14,'Packlist Detail'!$J$2:$J$52)</x:f>
        <x:v>10</x:v>
      </x:c>
      <x:c r="G14" s="39" t="n">
        <x:v>0</x:v>
      </x:c>
      <x:c r="H14" s="25" t="n">
        <x:f>MAX(0,F14-G14)</x:f>
        <x:v>10</x:v>
      </x:c>
      <x:c r="I14" s="23" t="str">
        <x:v>129819844</x:v>
      </x:c>
      <x:c r="J14" s="23" t="str">
        <x:v>Verified shipped</x:v>
      </x:c>
      <x:c r="K14" s="43" t="str"/>
    </x:row>
    <x:row r="15">
      <x:c r="A15" s="22" t="str">
        <x:v>Diodes &amp; Protection</x:v>
      </x:c>
      <x:c r="B15" s="23" t="str">
        <x:v>Nexperia USA Inc.</x:v>
      </x:c>
      <x:c r="C15" s="23" t="str">
        <x:v>PTVS60VP1UP,115</x:v>
      </x:c>
      <x:c r="D15" s="23" t="str">
        <x:v>1727-4448-1-ND</x:v>
      </x:c>
      <x:c r="E15" s="41" t="str">
        <x:v>TVS DIODE 60VWM 96.8VC SOD1285</x:v>
      </x:c>
      <x:c r="F15" s="25" t="n">
        <x:f>SUMIF('Packlist Detail'!$F$2:$F$52,C15,'Packlist Detail'!$J$2:$J$52)</x:f>
        <x:v>10</x:v>
      </x:c>
      <x:c r="G15" s="39" t="n">
        <x:v>0</x:v>
      </x:c>
      <x:c r="H15" s="25" t="n">
        <x:f>MAX(0,F15-G15)</x:f>
        <x:v>10</x:v>
      </x:c>
      <x:c r="I15" s="23" t="str">
        <x:v>131043164</x:v>
      </x:c>
      <x:c r="J15" s="23" t="str">
        <x:v>Verified shipped</x:v>
      </x:c>
      <x:c r="K15" s="43" t="str"/>
    </x:row>
    <x:row r="16">
      <x:c r="A16" s="22" t="str">
        <x:v>Diodes &amp; Protection</x:v>
      </x:c>
      <x:c r="B16" s="23" t="str">
        <x:v>onsemi</x:v>
      </x:c>
      <x:c r="C16" s="23" t="str">
        <x:v>1N914BWT</x:v>
      </x:c>
      <x:c r="D16" s="23" t="str">
        <x:v>1N914BWTCT-ND</x:v>
      </x:c>
      <x:c r="E16" s="41" t="str">
        <x:v>DIODE STANDARD 75V 200MA SOD523F</x:v>
      </x:c>
      <x:c r="F16" s="25" t="n">
        <x:f>SUMIF('Packlist Detail'!$F$2:$F$52,C16,'Packlist Detail'!$J$2:$J$52)</x:f>
        <x:v>10</x:v>
      </x:c>
      <x:c r="G16" s="39" t="n">
        <x:v>0</x:v>
      </x:c>
      <x:c r="H16" s="25" t="n">
        <x:f>MAX(0,F16-G16)</x:f>
        <x:v>10</x:v>
      </x:c>
      <x:c r="I16" s="23" t="str">
        <x:v>131043164</x:v>
      </x:c>
      <x:c r="J16" s="23" t="str">
        <x:v>Verified shipped</x:v>
      </x:c>
      <x:c r="K16" s="43" t="str"/>
    </x:row>
    <x:row r="17">
      <x:c r="A17" s="22" t="str">
        <x:v>Diodes &amp; Protection</x:v>
      </x:c>
      <x:c r="B17" s="23" t="str">
        <x:v>STMicroelectronics</x:v>
      </x:c>
      <x:c r="C17" s="23" t="str">
        <x:v>BAT54SFILMY</x:v>
      </x:c>
      <x:c r="D17" s="23" t="str">
        <x:v>497-12132-1-ND</x:v>
      </x:c>
      <x:c r="E17" s="41" t="str">
        <x:v>DIODE ARR SCHOTT 40V 300MA SOT23</x:v>
      </x:c>
      <x:c r="F17" s="25" t="n">
        <x:f>SUMIF('Packlist Detail'!$F$2:$F$52,C17,'Packlist Detail'!$J$2:$J$52)</x:f>
        <x:v>10</x:v>
      </x:c>
      <x:c r="G17" s="39" t="n">
        <x:v>0</x:v>
      </x:c>
      <x:c r="H17" s="25" t="n">
        <x:f>MAX(0,F17-G17)</x:f>
        <x:v>10</x:v>
      </x:c>
      <x:c r="I17" s="23" t="str">
        <x:v>129819844</x:v>
      </x:c>
      <x:c r="J17" s="23" t="str">
        <x:v>Verified shipped</x:v>
      </x:c>
      <x:c r="K17" s="43" t="str"/>
    </x:row>
    <x:row r="18">
      <x:c r="A18" s="22" t="str">
        <x:v>Diodes &amp; Protection</x:v>
      </x:c>
      <x:c r="B18" s="23" t="str">
        <x:v>Texas Instruments</x:v>
      </x:c>
      <x:c r="C18" s="23" t="str">
        <x:v>TPD2E001DRLR</x:v>
      </x:c>
      <x:c r="D18" s="23" t="str">
        <x:v>296-21883-1-ND</x:v>
      </x:c>
      <x:c r="E18" s="41" t="str">
        <x:v>TVS DIODE 5.5VWM SOT5</x:v>
      </x:c>
      <x:c r="F18" s="25" t="n">
        <x:f>SUMIF('Packlist Detail'!$F$2:$F$52,C18,'Packlist Detail'!$J$2:$J$52)</x:f>
        <x:v>2</x:v>
      </x:c>
      <x:c r="G18" s="39" t="n">
        <x:v>0</x:v>
      </x:c>
      <x:c r="H18" s="25" t="n">
        <x:f>MAX(0,F18-G18)</x:f>
        <x:v>2</x:v>
      </x:c>
      <x:c r="I18" s="23" t="str">
        <x:v>131043164</x:v>
      </x:c>
      <x:c r="J18" s="23" t="str">
        <x:v>Verified shipped</x:v>
      </x:c>
      <x:c r="K18" s="43" t="str"/>
    </x:row>
    <x:row r="19">
      <x:c r="A19" s="22" t="str">
        <x:v>Fuses &amp; Protection</x:v>
      </x:c>
      <x:c r="B19" s="23" t="str">
        <x:v>Bourns Inc.</x:v>
      </x:c>
      <x:c r="C19" s="23" t="str">
        <x:v>MF-R010-2</x:v>
      </x:c>
      <x:c r="D19" s="23" t="str">
        <x:v>118-MF-R010-2CT-ND</x:v>
      </x:c>
      <x:c r="E19" s="41" t="str">
        <x:v>PTC RESET FUSE 60V 100MA RADIAL</x:v>
      </x:c>
      <x:c r="F19" s="25" t="n">
        <x:f>SUMIF('Packlist Detail'!$F$2:$F$52,C19,'Packlist Detail'!$J$2:$J$52)</x:f>
        <x:v>5</x:v>
      </x:c>
      <x:c r="G19" s="39" t="n">
        <x:v>0</x:v>
      </x:c>
      <x:c r="H19" s="25" t="n">
        <x:f>MAX(0,F19-G19)</x:f>
        <x:v>5</x:v>
      </x:c>
      <x:c r="I19" s="23" t="str">
        <x:v>130620885</x:v>
      </x:c>
      <x:c r="J19" s="23" t="str">
        <x:v>Verified shipped</x:v>
      </x:c>
      <x:c r="K19" s="43" t="str"/>
    </x:row>
    <x:row r="20">
      <x:c r="A20" s="22" t="str">
        <x:v>ICs - ADC</x:v>
      </x:c>
      <x:c r="B20" s="23" t="str">
        <x:v>Texas Instruments</x:v>
      </x:c>
      <x:c r="C20" s="23" t="str">
        <x:v>ADS1220IPWR</x:v>
      </x:c>
      <x:c r="D20" s="23" t="str">
        <x:v>296-39851-1-ND</x:v>
      </x:c>
      <x:c r="E20" s="41" t="str">
        <x:v>IC ADC 24BIT 16-TSSOP</x:v>
      </x:c>
      <x:c r="F20" s="25" t="n">
        <x:f>SUMIF('Packlist Detail'!$F$2:$F$52,C20,'Packlist Detail'!$J$2:$J$52)</x:f>
        <x:v>2</x:v>
      </x:c>
      <x:c r="G20" s="39" t="n">
        <x:v>0</x:v>
      </x:c>
      <x:c r="H20" s="25" t="n">
        <x:f>MAX(0,F20-G20)</x:f>
        <x:v>2</x:v>
      </x:c>
      <x:c r="I20" s="23" t="str">
        <x:v>129819844</x:v>
      </x:c>
      <x:c r="J20" s="23" t="str">
        <x:v>Verified shipped</x:v>
      </x:c>
      <x:c r="K20" s="43" t="str"/>
    </x:row>
    <x:row r="21">
      <x:c r="A21" s="22" t="str">
        <x:v>ICs - Amplifiers</x:v>
      </x:c>
      <x:c r="B21" s="23" t="str">
        <x:v>Texas Instruments</x:v>
      </x:c>
      <x:c r="C21" s="23" t="str">
        <x:v>OPA197IDGKR</x:v>
      </x:c>
      <x:c r="D21" s="23" t="str">
        <x:v>296-44205-1-ND</x:v>
      </x:c>
      <x:c r="E21" s="41" t="str">
        <x:v>IC OPAMP GP 1 CIRCUIT 8VSSOP</x:v>
      </x:c>
      <x:c r="F21" s="25" t="n">
        <x:f>SUMIF('Packlist Detail'!$F$2:$F$52,C21,'Packlist Detail'!$J$2:$J$52)</x:f>
        <x:v>4</x:v>
      </x:c>
      <x:c r="G21" s="39" t="n">
        <x:v>0</x:v>
      </x:c>
      <x:c r="H21" s="25" t="n">
        <x:f>MAX(0,F21-G21)</x:f>
        <x:v>4</x:v>
      </x:c>
      <x:c r="I21" s="23" t="str">
        <x:v>129819844</x:v>
      </x:c>
      <x:c r="J21" s="23" t="str">
        <x:v>Verified shipped</x:v>
      </x:c>
      <x:c r="K21" s="43" t="str"/>
    </x:row>
    <x:row r="22">
      <x:c r="A22" s="22" t="str">
        <x:v>ICs - Amplifiers</x:v>
      </x:c>
      <x:c r="B22" s="23" t="str">
        <x:v>Texas Instruments</x:v>
      </x:c>
      <x:c r="C22" s="23" t="str">
        <x:v>TLV9154IDR</x:v>
      </x:c>
      <x:c r="D22" s="23" t="str">
        <x:v>296-TLV9154IDRCT-ND</x:v>
      </x:c>
      <x:c r="E22" s="41" t="str">
        <x:v>IC OPAMP GP 4 CIRCUIT 14SOIC</x:v>
      </x:c>
      <x:c r="F22" s="25" t="n">
        <x:f>SUMIF('Packlist Detail'!$F$2:$F$52,C22,'Packlist Detail'!$J$2:$J$52)</x:f>
        <x:v>4</x:v>
      </x:c>
      <x:c r="G22" s="39" t="n">
        <x:v>0</x:v>
      </x:c>
      <x:c r="H22" s="25" t="n">
        <x:f>MAX(0,F22-G22)</x:f>
        <x:v>4</x:v>
      </x:c>
      <x:c r="I22" s="23" t="str">
        <x:v>129266064</x:v>
      </x:c>
      <x:c r="J22" s="23" t="str">
        <x:v>Verified shipped</x:v>
      </x:c>
      <x:c r="K22" s="43" t="str"/>
    </x:row>
    <x:row r="23">
      <x:c r="A23" s="22" t="str">
        <x:v>ICs - Analog Switching</x:v>
      </x:c>
      <x:c r="B23" s="23" t="str">
        <x:v>Texas Instruments</x:v>
      </x:c>
      <x:c r="C23" s="23" t="str">
        <x:v>TMUX1108PWR</x:v>
      </x:c>
      <x:c r="D23" s="23" t="str">
        <x:v>296-53256-1-ND</x:v>
      </x:c>
      <x:c r="E23" s="41" t="str">
        <x:v>IC MUX 8:1 4OHM 16TSSOP</x:v>
      </x:c>
      <x:c r="F23" s="25" t="n">
        <x:f>SUMIF('Packlist Detail'!$F$2:$F$52,C23,'Packlist Detail'!$J$2:$J$52)</x:f>
        <x:v>2</x:v>
      </x:c>
      <x:c r="G23" s="39" t="n">
        <x:v>0</x:v>
      </x:c>
      <x:c r="H23" s="25" t="n">
        <x:f>MAX(0,F23-G23)</x:f>
        <x:v>2</x:v>
      </x:c>
      <x:c r="I23" s="23" t="str">
        <x:v>130620885</x:v>
      </x:c>
      <x:c r="J23" s="23" t="str">
        <x:v>Verified shipped</x:v>
      </x:c>
      <x:c r="K23" s="43" t="str"/>
    </x:row>
    <x:row r="24">
      <x:c r="A24" s="22" t="str">
        <x:v>ICs - Analog Switching</x:v>
      </x:c>
      <x:c r="B24" s="23" t="str">
        <x:v>Texas Instruments</x:v>
      </x:c>
      <x:c r="C24" s="23" t="str">
        <x:v>TMUX1109PWR</x:v>
      </x:c>
      <x:c r="D24" s="23" t="str">
        <x:v>296-53438-1-ND</x:v>
      </x:c>
      <x:c r="E24" s="41" t="str">
        <x:v>IC MUX DUAL 4:1 4OHM 16TSSOP</x:v>
      </x:c>
      <x:c r="F24" s="25" t="n">
        <x:f>SUMIF('Packlist Detail'!$F$2:$F$52,C24,'Packlist Detail'!$J$2:$J$52)</x:f>
        <x:v>2</x:v>
      </x:c>
      <x:c r="G24" s="39" t="n">
        <x:v>0</x:v>
      </x:c>
      <x:c r="H24" s="25" t="n">
        <x:f>MAX(0,F24-G24)</x:f>
        <x:v>2</x:v>
      </x:c>
      <x:c r="I24" s="23" t="str">
        <x:v>130620885</x:v>
      </x:c>
      <x:c r="J24" s="23" t="str">
        <x:v>Verified shipped</x:v>
      </x:c>
      <x:c r="K24" s="43" t="str"/>
    </x:row>
    <x:row r="25">
      <x:c r="A25" s="22" t="str">
        <x:v>ICs - Analog Switching</x:v>
      </x:c>
      <x:c r="B25" s="23" t="str">
        <x:v>Texas Instruments</x:v>
      </x:c>
      <x:c r="C25" s="23" t="str">
        <x:v>TMUX7462FPWR</x:v>
      </x:c>
      <x:c r="D25" s="23" t="str">
        <x:v>296-TMUX7462FPWRCT-ND</x:v>
      </x:c>
      <x:c r="E25" s="41" t="str">
        <x:v>60-V FAULT-PROTECTED, LATCH-UP I</x:v>
      </x:c>
      <x:c r="F25" s="25" t="n">
        <x:f>SUMIF('Packlist Detail'!$F$2:$F$52,C25,'Packlist Detail'!$J$2:$J$52)</x:f>
        <x:v>2</x:v>
      </x:c>
      <x:c r="G25" s="39" t="n">
        <x:v>0</x:v>
      </x:c>
      <x:c r="H25" s="25" t="n">
        <x:f>MAX(0,F25-G25)</x:f>
        <x:v>2</x:v>
      </x:c>
      <x:c r="I25" s="23" t="str">
        <x:v>131043164</x:v>
      </x:c>
      <x:c r="J25" s="23" t="str">
        <x:v>Verified shipped</x:v>
      </x:c>
      <x:c r="K25" s="43" t="str"/>
    </x:row>
    <x:row r="26">
      <x:c r="A26" s="22" t="str">
        <x:v>ICs - Comparator</x:v>
      </x:c>
      <x:c r="B26" s="23" t="str">
        <x:v>Texas Instruments</x:v>
      </x:c>
      <x:c r="C26" s="23" t="str">
        <x:v>TLV3501AIDR</x:v>
      </x:c>
      <x:c r="D26" s="23" t="str">
        <x:v>296-43611-1-ND</x:v>
      </x:c>
      <x:c r="E26" s="41" t="str">
        <x:v>IC COMPARATOR 1CH 8-SOIC</x:v>
      </x:c>
      <x:c r="F26" s="25" t="n">
        <x:f>SUMIF('Packlist Detail'!$F$2:$F$52,C26,'Packlist Detail'!$J$2:$J$52)</x:f>
        <x:v>3</x:v>
      </x:c>
      <x:c r="G26" s="39" t="n">
        <x:v>0</x:v>
      </x:c>
      <x:c r="H26" s="25" t="n">
        <x:f>MAX(0,F26-G26)</x:f>
        <x:v>3</x:v>
      </x:c>
      <x:c r="I26" s="23" t="str">
        <x:v>129266064</x:v>
      </x:c>
      <x:c r="J26" s="23" t="str">
        <x:v>Verified shipped</x:v>
      </x:c>
      <x:c r="K26" s="43" t="str"/>
    </x:row>
    <x:row r="27">
      <x:c r="A27" s="22" t="str">
        <x:v>ICs - Digital Potentiometer</x:v>
      </x:c>
      <x:c r="B27" s="23" t="str">
        <x:v>Renesas Electronics Corporation</x:v>
      </x:c>
      <x:c r="C27" s="23" t="str">
        <x:v>ISL23415WFUZ</x:v>
      </x:c>
      <x:c r="D27" s="23" t="str">
        <x:v>ISL23415WFUZ-ND</x:v>
      </x:c>
      <x:c r="E27" s="41" t="str">
        <x:v>IC DIG POT 10K 10-MSOP</x:v>
      </x:c>
      <x:c r="F27" s="25" t="n">
        <x:f>SUMIF('Packlist Detail'!$F$2:$F$52,C27,'Packlist Detail'!$J$2:$J$52)</x:f>
        <x:v>3</x:v>
      </x:c>
      <x:c r="G27" s="39" t="n">
        <x:v>0</x:v>
      </x:c>
      <x:c r="H27" s="25" t="n">
        <x:f>MAX(0,F27-G27)</x:f>
        <x:v>3</x:v>
      </x:c>
      <x:c r="I27" s="23" t="str">
        <x:v>129819844</x:v>
      </x:c>
      <x:c r="J27" s="23" t="str">
        <x:v>Verified shipped</x:v>
      </x:c>
      <x:c r="K27" s="43" t="str"/>
    </x:row>
    <x:row r="28">
      <x:c r="A28" s="22" t="str">
        <x:v>ICs - Power Management</x:v>
      </x:c>
      <x:c r="B28" s="23" t="str">
        <x:v>Texas Instruments</x:v>
      </x:c>
      <x:c r="C28" s="23" t="str">
        <x:v>BQ25180YBGR</x:v>
      </x:c>
      <x:c r="D28" s="23" t="str">
        <x:v>296-BQ25180YBGRCT-ND</x:v>
      </x:c>
      <x:c r="E28" s="41" t="str">
        <x:v>1-A LI-ION IC PROGRAMMABLE CHARG</x:v>
      </x:c>
      <x:c r="F28" s="25" t="n">
        <x:f>SUMIF('Packlist Detail'!$F$2:$F$52,C28,'Packlist Detail'!$J$2:$J$52)</x:f>
        <x:v>3</x:v>
      </x:c>
      <x:c r="G28" s="39" t="n">
        <x:v>0</x:v>
      </x:c>
      <x:c r="H28" s="25" t="n">
        <x:f>MAX(0,F28-G28)</x:f>
        <x:v>3</x:v>
      </x:c>
      <x:c r="I28" s="23" t="str">
        <x:v>131043164</x:v>
      </x:c>
      <x:c r="J28" s="23" t="str">
        <x:v>Verified shipped</x:v>
      </x:c>
      <x:c r="K28" s="43" t="str"/>
    </x:row>
    <x:row r="29">
      <x:c r="A29" s="22" t="str">
        <x:v>ICs - Power Management</x:v>
      </x:c>
      <x:c r="B29" s="23" t="str">
        <x:v>Texas Instruments</x:v>
      </x:c>
      <x:c r="C29" s="23" t="str">
        <x:v>LM27762DSSR</x:v>
      </x:c>
      <x:c r="D29" s="23" t="str">
        <x:v>296-47331-1-ND</x:v>
      </x:c>
      <x:c r="E29" s="41" t="str">
        <x:v>IC REG CHARGE PUMP ADJ DL 12WSON</x:v>
      </x:c>
      <x:c r="F29" s="25" t="n">
        <x:f>SUMIF('Packlist Detail'!$F$2:$F$52,C29,'Packlist Detail'!$J$2:$J$52)</x:f>
        <x:v>2</x:v>
      </x:c>
      <x:c r="G29" s="39" t="n">
        <x:v>0</x:v>
      </x:c>
      <x:c r="H29" s="25" t="n">
        <x:f>MAX(0,F29-G29)</x:f>
        <x:v>2</x:v>
      </x:c>
      <x:c r="I29" s="23" t="str">
        <x:v>131043164</x:v>
      </x:c>
      <x:c r="J29" s="23" t="str">
        <x:v>Verified shipped</x:v>
      </x:c>
      <x:c r="K29" s="43" t="str"/>
    </x:row>
    <x:row r="30">
      <x:c r="A30" s="22" t="str">
        <x:v>ICs - Power Management</x:v>
      </x:c>
      <x:c r="B30" s="23" t="str">
        <x:v>Texas Instruments</x:v>
      </x:c>
      <x:c r="C30" s="23" t="str">
        <x:v>TPS63900DSKR</x:v>
      </x:c>
      <x:c r="D30" s="23" t="str">
        <x:v>296-TPS63900DSKRCT-ND</x:v>
      </x:c>
      <x:c r="E30" s="41" t="str">
        <x:v>IC REG BUCK BST PROG 400MA 10SON</x:v>
      </x:c>
      <x:c r="F30" s="25" t="n">
        <x:f>SUMIF('Packlist Detail'!$F$2:$F$52,C30,'Packlist Detail'!$J$2:$J$52)</x:f>
        <x:v>4</x:v>
      </x:c>
      <x:c r="G30" s="39" t="n">
        <x:v>0</x:v>
      </x:c>
      <x:c r="H30" s="25" t="n">
        <x:f>MAX(0,F30-G30)</x:f>
        <x:v>4</x:v>
      </x:c>
      <x:c r="I30" s="23" t="str">
        <x:v>131043164</x:v>
      </x:c>
      <x:c r="J30" s="23" t="str">
        <x:v>Verified shipped</x:v>
      </x:c>
      <x:c r="K30" s="43" t="str"/>
    </x:row>
    <x:row r="31">
      <x:c r="A31" s="22" t="str">
        <x:v>ICs - Power Management</x:v>
      </x:c>
      <x:c r="B31" s="23" t="str">
        <x:v>Texas Instruments</x:v>
      </x:c>
      <x:c r="C31" s="23" t="str">
        <x:v>TPS7A3901DSCR</x:v>
      </x:c>
      <x:c r="D31" s="23" t="str">
        <x:v>296-TPS7A3901DSCRCT-ND</x:v>
      </x:c>
      <x:c r="E31" s="41" t="str">
        <x:v>IC REG LINEAR POS/NEG ADJ 10WSON</x:v>
      </x:c>
      <x:c r="F31" s="25" t="n">
        <x:f>SUMIF('Packlist Detail'!$F$2:$F$52,C31,'Packlist Detail'!$J$2:$J$52)</x:f>
        <x:v>2</x:v>
      </x:c>
      <x:c r="G31" s="39" t="n">
        <x:v>0</x:v>
      </x:c>
      <x:c r="H31" s="25" t="n">
        <x:f>MAX(0,F31-G31)</x:f>
        <x:v>2</x:v>
      </x:c>
      <x:c r="I31" s="23" t="str">
        <x:v>131043164</x:v>
      </x:c>
      <x:c r="J31" s="23" t="str">
        <x:v>Verified shipped</x:v>
      </x:c>
      <x:c r="K31" s="43" t="str"/>
    </x:row>
    <x:row r="32">
      <x:c r="A32" s="22" t="str">
        <x:v>Inductors</x:v>
      </x:c>
      <x:c r="B32" s="23" t="str">
        <x:v>Würth Elektronik</x:v>
      </x:c>
      <x:c r="C32" s="23" t="str">
        <x:v>74479275222</x:v>
      </x:c>
      <x:c r="D32" s="23" t="str">
        <x:v>732-9708-1-ND</x:v>
      </x:c>
      <x:c r="E32" s="41" t="str">
        <x:v>FIXED IND 2.2UH 2A 190 MOHM SMD</x:v>
      </x:c>
      <x:c r="F32" s="25" t="n">
        <x:f>SUMIF('Packlist Detail'!$F$2:$F$52,C32,'Packlist Detail'!$J$2:$J$52)</x:f>
        <x:v>4</x:v>
      </x:c>
      <x:c r="G32" s="39" t="n">
        <x:v>0</x:v>
      </x:c>
      <x:c r="H32" s="25" t="n">
        <x:f>MAX(0,F32-G32)</x:f>
        <x:v>4</x:v>
      </x:c>
      <x:c r="I32" s="23" t="str">
        <x:v>131043164</x:v>
      </x:c>
      <x:c r="J32" s="23" t="str">
        <x:v>Verified shipped</x:v>
      </x:c>
      <x:c r="K32" s="43" t="str"/>
    </x:row>
    <x:row r="33">
      <x:c r="A33" s="22" t="str">
        <x:v>Power Modules</x:v>
      </x:c>
      <x:c r="B33" s="23" t="str">
        <x:v>Traco Power</x:v>
      </x:c>
      <x:c r="C33" s="23" t="str">
        <x:v>TMA 0505D</x:v>
      </x:c>
      <x:c r="D33" s="23" t="str">
        <x:v>1951-2715-ND</x:v>
      </x:c>
      <x:c r="E33" s="41" t="str">
        <x:v>DC DC CONVERTER +/-5V 1W</x:v>
      </x:c>
      <x:c r="F33" s="25" t="n">
        <x:f>SUMIF('Packlist Detail'!$F$2:$F$52,C33,'Packlist Detail'!$J$2:$J$52)</x:f>
        <x:v>2</x:v>
      </x:c>
      <x:c r="G33" s="39" t="n">
        <x:v>0</x:v>
      </x:c>
      <x:c r="H33" s="25" t="n">
        <x:f>MAX(0,F33-G33)</x:f>
        <x:v>2</x:v>
      </x:c>
      <x:c r="I33" s="23" t="str">
        <x:v>129266064</x:v>
      </x:c>
      <x:c r="J33" s="23" t="str">
        <x:v>Verified shipped</x:v>
      </x:c>
      <x:c r="K33" s="43" t="str"/>
    </x:row>
    <x:row r="34">
      <x:c r="A34" s="22" t="str">
        <x:v>Relays</x:v>
      </x:c>
      <x:c r="B34" s="23" t="str">
        <x:v>Coto Technology</x:v>
      </x:c>
      <x:c r="C34" s="23" t="str">
        <x:v>9201-05-00TR</x:v>
      </x:c>
      <x:c r="D34" s="23" t="str">
        <x:v>306-1389-1-ND</x:v>
      </x:c>
      <x:c r="E34" s="41" t="str">
        <x:v>RELAY REED SPST 500MA 5V</x:v>
      </x:c>
      <x:c r="F34" s="25" t="n">
        <x:f>SUMIF('Packlist Detail'!$F$2:$F$52,C34,'Packlist Detail'!$J$2:$J$52)</x:f>
        <x:v>2</x:v>
      </x:c>
      <x:c r="G34" s="39" t="n">
        <x:v>0</x:v>
      </x:c>
      <x:c r="H34" s="25" t="n">
        <x:f>MAX(0,F34-G34)</x:f>
        <x:v>2</x:v>
      </x:c>
      <x:c r="I34" s="23" t="str">
        <x:v>129819844</x:v>
      </x:c>
      <x:c r="J34" s="23" t="str">
        <x:v>Verified shipped</x:v>
      </x:c>
      <x:c r="K34" s="43" t="str"/>
    </x:row>
    <x:row r="35">
      <x:c r="A35" s="22" t="str">
        <x:v>Relays</x:v>
      </x:c>
      <x:c r="B35" s="23" t="str">
        <x:v>Panasonic Industry</x:v>
      </x:c>
      <x:c r="C35" s="23" t="str">
        <x:v>TQ2-3V</x:v>
      </x:c>
      <x:c r="D35" s="23" t="str">
        <x:v>255-1225-5-ND</x:v>
      </x:c>
      <x:c r="E35" s="41" t="str">
        <x:v>RELAY TELECOM DPDT 1A 3V</x:v>
      </x:c>
      <x:c r="F35" s="25" t="n">
        <x:f>SUMIF('Packlist Detail'!$F$2:$F$52,C35,'Packlist Detail'!$J$2:$J$52)</x:f>
        <x:v>2</x:v>
      </x:c>
      <x:c r="G35" s="39" t="n">
        <x:v>0</x:v>
      </x:c>
      <x:c r="H35" s="25" t="n">
        <x:f>MAX(0,F35-G35)</x:f>
        <x:v>2</x:v>
      </x:c>
      <x:c r="I35" s="23" t="str">
        <x:v>130620885</x:v>
      </x:c>
      <x:c r="J35" s="23" t="str">
        <x:v>Verified shipped</x:v>
      </x:c>
      <x:c r="K35" s="43" t="str"/>
    </x:row>
    <x:row r="36">
      <x:c r="A36" s="22" t="str">
        <x:v>Resistors</x:v>
      </x:c>
      <x:c r="B36" s="23" t="str">
        <x:v>Stackpole Electronics Inc.</x:v>
      </x:c>
      <x:c r="C36" s="23" t="str">
        <x:v>RNCF0805TKY10K0</x:v>
      </x:c>
      <x:c r="D36" s="23" t="str">
        <x:v>RNCF0805TKY10K0CT-ND</x:v>
      </x:c>
      <x:c r="E36" s="41" t="str">
        <x:v>RES SMD 10K OHM 0.01% 1/8W 0805</x:v>
      </x:c>
      <x:c r="F36" s="25" t="n">
        <x:f>SUMIF('Packlist Detail'!$F$2:$F$52,C36,'Packlist Detail'!$J$2:$J$52)</x:f>
        <x:v>10</x:v>
      </x:c>
      <x:c r="G36" s="39" t="n">
        <x:v>0</x:v>
      </x:c>
      <x:c r="H36" s="25" t="n">
        <x:f>MAX(0,F36-G36)</x:f>
        <x:v>10</x:v>
      </x:c>
      <x:c r="I36" s="23" t="str">
        <x:v>129819844</x:v>
      </x:c>
      <x:c r="J36" s="23" t="str">
        <x:v>Verified shipped</x:v>
      </x:c>
      <x:c r="K36" s="43" t="str"/>
    </x:row>
    <x:row r="37">
      <x:c r="A37" s="22" t="str">
        <x:v>Resistors</x:v>
      </x:c>
      <x:c r="B37" s="23" t="str">
        <x:v>Susumu</x:v>
      </x:c>
      <x:c r="C37" s="23" t="str">
        <x:v>RGV3216P-3004-B-T1</x:v>
      </x:c>
      <x:c r="D37" s="23" t="str">
        <x:v>408-RGV3216P-3004-B-T1CT-ND</x:v>
      </x:c>
      <x:c r="E37" s="41" t="str">
        <x:v>RES 3M OHM 0.1% 1/4W 1206, thin-film anti-sulfur</x:v>
      </x:c>
      <x:c r="F37" s="25" t="n">
        <x:f>SUMIF('Packlist Detail'!$F$2:$F$52,C37,'Packlist Detail'!$J$2:$J$52)</x:f>
        <x:v>20</x:v>
      </x:c>
      <x:c r="G37" s="39" t="n">
        <x:v>0</x:v>
      </x:c>
      <x:c r="H37" s="25" t="n">
        <x:f>MAX(0,F37-G37)</x:f>
        <x:v>20</x:v>
      </x:c>
      <x:c r="I37" s="23" t="str">
        <x:v>129819844</x:v>
      </x:c>
      <x:c r="J37" s="23" t="str">
        <x:v>Verified shipped</x:v>
      </x:c>
      <x:c r="K37" s="43" t="str">
        <x:v>3004 is 3 MΩ. Corrected from the earlier inventory-sheet typo of 30 MΩ; packlist description omitted the value.</x:v>
      </x:c>
    </x:row>
    <x:row r="38">
      <x:c r="A38" s="22" t="str">
        <x:v>Resistors</x:v>
      </x:c>
      <x:c r="B38" s="23" t="str">
        <x:v>Susumu</x:v>
      </x:c>
      <x:c r="C38" s="23" t="str">
        <x:v>RGV3216P-3603-B-T1</x:v>
      </x:c>
      <x:c r="D38" s="23" t="str">
        <x:v>408-RGV3216P-3603-B-T1CT-ND</x:v>
      </x:c>
      <x:c r="E38" s="41" t="str">
        <x:v>RES 360K OHM 0.1% 1/4W 1206</x:v>
      </x:c>
      <x:c r="F38" s="25" t="n">
        <x:f>SUMIF('Packlist Detail'!$F$2:$F$52,C38,'Packlist Detail'!$J$2:$J$52)</x:f>
        <x:v>20</x:v>
      </x:c>
      <x:c r="G38" s="39" t="n">
        <x:v>0</x:v>
      </x:c>
      <x:c r="H38" s="25" t="n">
        <x:f>MAX(0,F38-G38)</x:f>
        <x:v>20</x:v>
      </x:c>
      <x:c r="I38" s="23" t="str">
        <x:v>129819844</x:v>
      </x:c>
      <x:c r="J38" s="23" t="str">
        <x:v>Verified shipped</x:v>
      </x:c>
      <x:c r="K38" s="43" t="str"/>
    </x:row>
    <x:row r="39">
      <x:c r="A39" s="22" t="str">
        <x:v>Resistors</x:v>
      </x:c>
      <x:c r="B39" s="23" t="str">
        <x:v>Susumu</x:v>
      </x:c>
      <x:c r="C39" s="23" t="str">
        <x:v>RGV3216P-6203-B-T1</x:v>
      </x:c>
      <x:c r="D39" s="23" t="str">
        <x:v>408-RGV3216P-6203-B-T1CT-ND</x:v>
      </x:c>
      <x:c r="E39" s="41" t="str">
        <x:v>RES 620K OHM 0.1% 1/4W 1206</x:v>
      </x:c>
      <x:c r="F39" s="25" t="n">
        <x:f>SUMIF('Packlist Detail'!$F$2:$F$52,C39,'Packlist Detail'!$J$2:$J$52)</x:f>
        <x:v>20</x:v>
      </x:c>
      <x:c r="G39" s="39" t="n">
        <x:v>0</x:v>
      </x:c>
      <x:c r="H39" s="25" t="n">
        <x:f>MAX(0,F39-G39)</x:f>
        <x:v>20</x:v>
      </x:c>
      <x:c r="I39" s="23" t="str">
        <x:v>129819844</x:v>
      </x:c>
      <x:c r="J39" s="23" t="str">
        <x:v>Verified shipped</x:v>
      </x:c>
      <x:c r="K39" s="43" t="str"/>
    </x:row>
    <x:row r="40">
      <x:c r="A40" s="22" t="str">
        <x:v>Resistors</x:v>
      </x:c>
      <x:c r="B40" s="23" t="str">
        <x:v>TE Connectivity Passive Product</x:v>
      </x:c>
      <x:c r="C40" s="23" t="str">
        <x:v>CPF-A-0805B100KE1</x:v>
      </x:c>
      <x:c r="D40" s="23" t="str">
        <x:v>1712-CPF-A-0805B100KE1CT-ND</x:v>
      </x:c>
      <x:c r="E40" s="41" t="str">
        <x:v>RES SMD 100K OHM 0.1% 1/10W 0805</x:v>
      </x:c>
      <x:c r="F40" s="25" t="n">
        <x:f>SUMIF('Packlist Detail'!$F$2:$F$52,C40,'Packlist Detail'!$J$2:$J$52)</x:f>
        <x:v>10</x:v>
      </x:c>
      <x:c r="G40" s="39" t="n">
        <x:v>0</x:v>
      </x:c>
      <x:c r="H40" s="25" t="n">
        <x:f>MAX(0,F40-G40)</x:f>
        <x:v>10</x:v>
      </x:c>
      <x:c r="I40" s="23" t="str">
        <x:v>130620885</x:v>
      </x:c>
      <x:c r="J40" s="23" t="str">
        <x:v>Verified shipped</x:v>
      </x:c>
      <x:c r="K40" s="43" t="str"/>
    </x:row>
    <x:row r="41">
      <x:c r="A41" s="22" t="str">
        <x:v>Resistors</x:v>
      </x:c>
      <x:c r="B41" s="23" t="str">
        <x:v>TE Connectivity Passive Product</x:v>
      </x:c>
      <x:c r="C41" s="23" t="str">
        <x:v>CPF-A-0805B1M0E1</x:v>
      </x:c>
      <x:c r="D41" s="23" t="str">
        <x:v>1712-CPF-A-0805B1M0E1CT-ND</x:v>
      </x:c>
      <x:c r="E41" s="41" t="str">
        <x:v>RES SMD 1M OHM 0.1% 1/10W 0805</x:v>
      </x:c>
      <x:c r="F41" s="25" t="n">
        <x:f>SUMIF('Packlist Detail'!$F$2:$F$52,C41,'Packlist Detail'!$J$2:$J$52)</x:f>
        <x:v>10</x:v>
      </x:c>
      <x:c r="G41" s="39" t="n">
        <x:v>0</x:v>
      </x:c>
      <x:c r="H41" s="25" t="n">
        <x:f>MAX(0,F41-G41)</x:f>
        <x:v>10</x:v>
      </x:c>
      <x:c r="I41" s="23" t="str">
        <x:v>130620885</x:v>
      </x:c>
      <x:c r="J41" s="23" t="str">
        <x:v>Verified shipped</x:v>
      </x:c>
      <x:c r="K41" s="43" t="str"/>
    </x:row>
    <x:row r="42">
      <x:c r="A42" s="22" t="str">
        <x:v>Resistors</x:v>
      </x:c>
      <x:c r="B42" s="23" t="str">
        <x:v>Vishay</x:v>
      </x:c>
      <x:c r="C42" s="23" t="str">
        <x:v>MCA1206MD1005BP500</x:v>
      </x:c>
      <x:c r="D42" s="23" t="str">
        <x:v>749-MCA1206MD1005BP500CT-ND</x:v>
      </x:c>
      <x:c r="E42" s="41" t="str">
        <x:v>RES 10M OHM 0.1% 0.52W 1206</x:v>
      </x:c>
      <x:c r="F42" s="25" t="n">
        <x:f>SUMIF('Packlist Detail'!$F$2:$F$52,C42,'Packlist Detail'!$J$2:$J$52)</x:f>
        <x:v>10</x:v>
      </x:c>
      <x:c r="G42" s="39" t="n">
        <x:v>0</x:v>
      </x:c>
      <x:c r="H42" s="25" t="n">
        <x:f>MAX(0,F42-G42)</x:f>
        <x:v>10</x:v>
      </x:c>
      <x:c r="I42" s="23" t="str">
        <x:v>130620885</x:v>
      </x:c>
      <x:c r="J42" s="23" t="str">
        <x:v>Verified shipped</x:v>
      </x:c>
      <x:c r="K42" s="43" t="str"/>
    </x:row>
    <x:row r="43">
      <x:c r="A43" s="22" t="str">
        <x:v>Resistors</x:v>
      </x:c>
      <x:c r="B43" s="23" t="str">
        <x:v>YAGEO</x:v>
      </x:c>
      <x:c r="C43" s="23" t="str">
        <x:v>RC0805FR-0711KL</x:v>
      </x:c>
      <x:c r="D43" s="23" t="str">
        <x:v>311-11.0KCRCT-ND</x:v>
      </x:c>
      <x:c r="E43" s="41" t="str">
        <x:v>RES 11K OHM 1% 1/8W 0805</x:v>
      </x:c>
      <x:c r="F43" s="25" t="n">
        <x:f>SUMIF('Packlist Detail'!$F$2:$F$52,C43,'Packlist Detail'!$J$2:$J$52)</x:f>
        <x:v>10</x:v>
      </x:c>
      <x:c r="G43" s="39" t="n">
        <x:v>0</x:v>
      </x:c>
      <x:c r="H43" s="25" t="n">
        <x:f>MAX(0,F43-G43)</x:f>
        <x:v>10</x:v>
      </x:c>
      <x:c r="I43" s="23" t="str">
        <x:v>131043164</x:v>
      </x:c>
      <x:c r="J43" s="23" t="str">
        <x:v>Verified shipped</x:v>
      </x:c>
      <x:c r="K43" s="43" t="str"/>
    </x:row>
    <x:row r="44">
      <x:c r="A44" s="22" t="str">
        <x:v>Resistors</x:v>
      </x:c>
      <x:c r="B44" s="23" t="str">
        <x:v>YAGEO</x:v>
      </x:c>
      <x:c r="C44" s="23" t="str">
        <x:v>RC0805FR-0716K2L</x:v>
      </x:c>
      <x:c r="D44" s="23" t="str">
        <x:v>311-16.2KCRCT-ND</x:v>
      </x:c>
      <x:c r="E44" s="41" t="str">
        <x:v>RES 16.2K OHM 1% 1/8W 0805</x:v>
      </x:c>
      <x:c r="F44" s="25" t="n">
        <x:f>SUMIF('Packlist Detail'!$F$2:$F$52,C44,'Packlist Detail'!$J$2:$J$52)</x:f>
        <x:v>10</x:v>
      </x:c>
      <x:c r="G44" s="39" t="n">
        <x:v>0</x:v>
      </x:c>
      <x:c r="H44" s="25" t="n">
        <x:f>MAX(0,F44-G44)</x:f>
        <x:v>10</x:v>
      </x:c>
      <x:c r="I44" s="23" t="str">
        <x:v>131043164</x:v>
      </x:c>
      <x:c r="J44" s="23" t="str">
        <x:v>Verified shipped</x:v>
      </x:c>
      <x:c r="K44" s="43" t="str"/>
    </x:row>
    <x:row r="45">
      <x:c r="A45" s="22" t="str">
        <x:v>Resistors</x:v>
      </x:c>
      <x:c r="B45" s="23" t="str">
        <x:v>YAGEO</x:v>
      </x:c>
      <x:c r="C45" s="23" t="str">
        <x:v>RC0805FR-0721KL</x:v>
      </x:c>
      <x:c r="D45" s="23" t="str">
        <x:v>311-21.0KCRCT-ND</x:v>
      </x:c>
      <x:c r="E45" s="41" t="str">
        <x:v>RES 21K OHM 1% 1/8W 0805</x:v>
      </x:c>
      <x:c r="F45" s="25" t="n">
        <x:f>SUMIF('Packlist Detail'!$F$2:$F$52,C45,'Packlist Detail'!$J$2:$J$52)</x:f>
        <x:v>10</x:v>
      </x:c>
      <x:c r="G45" s="39" t="n">
        <x:v>0</x:v>
      </x:c>
      <x:c r="H45" s="25" t="n">
        <x:f>MAX(0,F45-G45)</x:f>
        <x:v>10</x:v>
      </x:c>
      <x:c r="I45" s="23" t="str">
        <x:v>131043164</x:v>
      </x:c>
      <x:c r="J45" s="23" t="str">
        <x:v>Verified shipped</x:v>
      </x:c>
      <x:c r="K45" s="43" t="str"/>
    </x:row>
    <x:row r="46">
      <x:c r="A46" s="22" t="str">
        <x:v>Resistors</x:v>
      </x:c>
      <x:c r="B46" s="23" t="str">
        <x:v>YAGEO</x:v>
      </x:c>
      <x:c r="C46" s="23" t="str">
        <x:v>RC0805FR-07270KL</x:v>
      </x:c>
      <x:c r="D46" s="23" t="str">
        <x:v>311-270KCRCT-ND</x:v>
      </x:c>
      <x:c r="E46" s="41" t="str">
        <x:v>RES 270K OHM 1% 1/8W 0805</x:v>
      </x:c>
      <x:c r="F46" s="25" t="n">
        <x:f>SUMIF('Packlist Detail'!$F$2:$F$52,C46,'Packlist Detail'!$J$2:$J$52)</x:f>
        <x:v>10</x:v>
      </x:c>
      <x:c r="G46" s="39" t="n">
        <x:v>0</x:v>
      </x:c>
      <x:c r="H46" s="25" t="n">
        <x:f>MAX(0,F46-G46)</x:f>
        <x:v>10</x:v>
      </x:c>
      <x:c r="I46" s="23" t="str">
        <x:v>131043164</x:v>
      </x:c>
      <x:c r="J46" s="23" t="str">
        <x:v>Verified shipped</x:v>
      </x:c>
      <x:c r="K46" s="43" t="str"/>
    </x:row>
    <x:row r="47">
      <x:c r="A47" s="22" t="str">
        <x:v>Resistors</x:v>
      </x:c>
      <x:c r="B47" s="23" t="str">
        <x:v>YAGEO</x:v>
      </x:c>
      <x:c r="C47" s="23" t="str">
        <x:v>RC0805FR-07274KL</x:v>
      </x:c>
      <x:c r="D47" s="23" t="str">
        <x:v>311-274KCRCT-ND</x:v>
      </x:c>
      <x:c r="E47" s="41" t="str">
        <x:v>RES 274K OHM 1% 1/8W 0805</x:v>
      </x:c>
      <x:c r="F47" s="25" t="n">
        <x:f>SUMIF('Packlist Detail'!$F$2:$F$52,C47,'Packlist Detail'!$J$2:$J$52)</x:f>
        <x:v>10</x:v>
      </x:c>
      <x:c r="G47" s="39" t="n">
        <x:v>0</x:v>
      </x:c>
      <x:c r="H47" s="25" t="n">
        <x:f>MAX(0,F47-G47)</x:f>
        <x:v>10</x:v>
      </x:c>
      <x:c r="I47" s="23" t="str">
        <x:v>131043164</x:v>
      </x:c>
      <x:c r="J47" s="23" t="str">
        <x:v>Verified shipped</x:v>
      </x:c>
      <x:c r="K47" s="43" t="str"/>
    </x:row>
    <x:row r="48">
      <x:c r="A48" s="22" t="str">
        <x:v>Resistors</x:v>
      </x:c>
      <x:c r="B48" s="23" t="str">
        <x:v>YAGEO</x:v>
      </x:c>
      <x:c r="C48" s="23" t="str">
        <x:v>RC0805FR-0727RL</x:v>
      </x:c>
      <x:c r="D48" s="23" t="str">
        <x:v>311-27.0CRCT-ND</x:v>
      </x:c>
      <x:c r="E48" s="41" t="str">
        <x:v>RES 27 OHM 1% 1/8W 0805</x:v>
      </x:c>
      <x:c r="F48" s="25" t="n">
        <x:f>SUMIF('Packlist Detail'!$F$2:$F$52,C48,'Packlist Detail'!$J$2:$J$52)</x:f>
        <x:v>10</x:v>
      </x:c>
      <x:c r="G48" s="39" t="n">
        <x:v>0</x:v>
      </x:c>
      <x:c r="H48" s="25" t="n">
        <x:f>MAX(0,F48-G48)</x:f>
        <x:v>10</x:v>
      </x:c>
      <x:c r="I48" s="23" t="str">
        <x:v>131043164</x:v>
      </x:c>
      <x:c r="J48" s="23" t="str">
        <x:v>Verified shipped</x:v>
      </x:c>
      <x:c r="K48" s="43" t="str"/>
    </x:row>
    <x:row r="49">
      <x:c r="A49" s="22" t="str">
        <x:v>Resistors</x:v>
      </x:c>
      <x:c r="B49" s="23" t="str">
        <x:v>YAGEO</x:v>
      </x:c>
      <x:c r="C49" s="23" t="str">
        <x:v>RC0805FR-0736K5L</x:v>
      </x:c>
      <x:c r="D49" s="23" t="str">
        <x:v>311-36.5KCRCT-ND</x:v>
      </x:c>
      <x:c r="E49" s="41" t="str">
        <x:v>RES 36.5K OHM 1% 1/8W 0805</x:v>
      </x:c>
      <x:c r="F49" s="25" t="n">
        <x:f>SUMIF('Packlist Detail'!$F$2:$F$52,C49,'Packlist Detail'!$J$2:$J$52)</x:f>
        <x:v>25</x:v>
      </x:c>
      <x:c r="G49" s="39" t="n">
        <x:v>0</x:v>
      </x:c>
      <x:c r="H49" s="25" t="n">
        <x:f>MAX(0,F49-G49)</x:f>
        <x:v>25</x:v>
      </x:c>
      <x:c r="I49" s="23" t="str">
        <x:v>131043164</x:v>
      </x:c>
      <x:c r="J49" s="23" t="str">
        <x:v>Verified shipped</x:v>
      </x:c>
      <x:c r="K49" s="43" t="str"/>
    </x:row>
    <x:row r="50">
      <x:c r="A50" s="22" t="str">
        <x:v>Resistors</x:v>
      </x:c>
      <x:c r="B50" s="23" t="str">
        <x:v>YAGEO</x:v>
      </x:c>
      <x:c r="C50" s="23" t="str">
        <x:v>RC0805FR-078K25L</x:v>
      </x:c>
      <x:c r="D50" s="23" t="str">
        <x:v>311-8.25KCRCT-ND</x:v>
      </x:c>
      <x:c r="E50" s="41" t="str">
        <x:v>RES 8.25K OHM 1% 1/8W 0805</x:v>
      </x:c>
      <x:c r="F50" s="25" t="n">
        <x:f>SUMIF('Packlist Detail'!$F$2:$F$52,C50,'Packlist Detail'!$J$2:$J$52)</x:f>
        <x:v>10</x:v>
      </x:c>
      <x:c r="G50" s="39" t="n">
        <x:v>0</x:v>
      </x:c>
      <x:c r="H50" s="25" t="n">
        <x:f>MAX(0,F50-G50)</x:f>
        <x:v>10</x:v>
      </x:c>
      <x:c r="I50" s="23" t="str">
        <x:v>131043164</x:v>
      </x:c>
      <x:c r="J50" s="23" t="str">
        <x:v>Verified shipped</x:v>
      </x:c>
      <x:c r="K50" s="43" t="str"/>
    </x:row>
    <x:row r="51">
      <x:c r="A51" s="22" t="str">
        <x:v>Sensors</x:v>
      </x:c>
      <x:c r="B51" s="23" t="str">
        <x:v>Murata Electronics</x:v>
      </x:c>
      <x:c r="C51" s="23" t="str">
        <x:v>NCU18XH103F6SRB</x:v>
      </x:c>
      <x:c r="D51" s="23" t="str">
        <x:v>490-18139-1-ND</x:v>
      </x:c>
      <x:c r="E51" s="41" t="str">
        <x:v>THERMISTOR NTC 10KOHM 3380K 0603</x:v>
      </x:c>
      <x:c r="F51" s="25" t="n">
        <x:f>SUMIF('Packlist Detail'!$F$2:$F$52,C51,'Packlist Detail'!$J$2:$J$52)</x:f>
        <x:v>5</x:v>
      </x:c>
      <x:c r="G51" s="39" t="n">
        <x:v>0</x:v>
      </x:c>
      <x:c r="H51" s="25" t="n">
        <x:f>MAX(0,F51-G51)</x:f>
        <x:v>5</x:v>
      </x:c>
      <x:c r="I51" s="23" t="str">
        <x:v>131043164</x:v>
      </x:c>
      <x:c r="J51" s="23" t="str">
        <x:v>Verified shipped</x:v>
      </x:c>
      <x:c r="K51" s="43" t="str"/>
    </x:row>
    <x:row r="52">
      <x:c r="A52" s="27" t="str">
        <x:v>Transistors</x:v>
      </x:c>
      <x:c r="B52" s="28" t="str">
        <x:v>onsemi</x:v>
      </x:c>
      <x:c r="C52" s="28" t="str">
        <x:v>MMBT3904LT1G</x:v>
      </x:c>
      <x:c r="D52" s="28" t="str">
        <x:v>MMBT3904LT1GOSCT-ND</x:v>
      </x:c>
      <x:c r="E52" s="42" t="str">
        <x:v>TRANS NPN 40V 0.2A SOT23-3</x:v>
      </x:c>
      <x:c r="F52" s="30" t="n">
        <x:f>SUMIF('Packlist Detail'!$F$2:$F$52,C52,'Packlist Detail'!$J$2:$J$52)</x:f>
        <x:v>20</x:v>
      </x:c>
      <x:c r="G52" s="40" t="n">
        <x:v>0</x:v>
      </x:c>
      <x:c r="H52" s="30" t="n">
        <x:f>MAX(0,F52-G52)</x:f>
        <x:v>20</x:v>
      </x:c>
      <x:c r="I52" s="28" t="str">
        <x:v>131043164</x:v>
      </x:c>
      <x:c r="J52" s="28" t="str">
        <x:v>Verified shipped</x:v>
      </x:c>
      <x:c r="K52" s="44" t="str"/>
    </x:row>
  </x:sheetData>
  <x:dataValidations count="1">
    <x:dataValidation type="whole" operator="between" sqref="G2:G52">
      <x:formula1>0</x:formula1>
      <x:formula2>100000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8" hidden="0" customWidth="1"/>
    <x:col min="5" max="5" width="24" hidden="0" customWidth="1"/>
    <x:col min="6" max="6" width="29" hidden="0" customWidth="1"/>
    <x:col min="7" max="7" width="29" hidden="0" customWidth="1"/>
    <x:col min="8" max="8" width="25" hidden="0" customWidth="1"/>
    <x:col min="9" max="9" width="13" hidden="0" customWidth="1"/>
    <x:col min="10" max="10" width="13" hidden="0" customWidth="1"/>
    <x:col min="11" max="11" width="13" hidden="0" customWidth="1"/>
    <x:col min="12" max="12" width="44" hidden="0" customWidth="1"/>
    <x:col min="13" max="13" width="32" hidden="0" customWidth="1"/>
  </x:cols>
  <x:sheetData>
    <x:row r="1" ht="30" customHeight="1">
      <x:c r="A1" s="19" t="str">
        <x:v>Invoice</x:v>
      </x:c>
      <x:c r="B1" s="20" t="str">
        <x:v>Order Date</x:v>
      </x:c>
      <x:c r="C1" s="20" t="str">
        <x:v>Document Date</x:v>
      </x:c>
      <x:c r="D1" s="20" t="str">
        <x:v>Line</x:v>
      </x:c>
      <x:c r="E1" s="20" t="str">
        <x:v>Category</x:v>
      </x:c>
      <x:c r="F1" s="20" t="str">
        <x:v>Manufacturer Part Number</x:v>
      </x:c>
      <x:c r="G1" s="20" t="str">
        <x:v>DigiKey Part Number</x:v>
      </x:c>
      <x:c r="H1" s="20" t="str">
        <x:v>Manufacturer</x:v>
      </x:c>
      <x:c r="I1" s="20" t="str">
        <x:v>Qty Ordered</x:v>
      </x:c>
      <x:c r="J1" s="20" t="str">
        <x:v>Qty Shipped</x:v>
      </x:c>
      <x:c r="K1" s="20" t="str">
        <x:v>Qty Backordered</x:v>
      </x:c>
      <x:c r="L1" s="20" t="str">
        <x:v>Packlist Description</x:v>
      </x:c>
      <x:c r="M1" s="21" t="str">
        <x:v>Source PDF</x:v>
      </x:c>
    </x:row>
    <x:row r="2">
      <x:c r="A2" s="22" t="str">
        <x:v>129266064</x:v>
      </x:c>
      <x:c r="B2" s="24" t="n">
        <x:v>46218</x:v>
      </x:c>
      <x:c r="C2" s="24" t="n">
        <x:v>46218</x:v>
      </x:c>
      <x:c r="D2" s="36" t="n">
        <x:v>1</x:v>
      </x:c>
      <x:c r="E2" s="23" t="str">
        <x:v>Power Modules</x:v>
      </x:c>
      <x:c r="F2" s="23" t="str">
        <x:v>TMA 0505D</x:v>
      </x:c>
      <x:c r="G2" s="23" t="str">
        <x:v>1951-2715-ND</x:v>
      </x:c>
      <x:c r="H2" s="23" t="str">
        <x:v>Traco Power</x:v>
      </x:c>
      <x:c r="I2" s="25" t="n">
        <x:v>2</x:v>
      </x:c>
      <x:c r="J2" s="25" t="n">
        <x:v>2</x:v>
      </x:c>
      <x:c r="K2" s="25" t="n">
        <x:v>0</x:v>
      </x:c>
      <x:c r="L2" s="23" t="str">
        <x:v>DC DC CONVERTER +/-5V 1W</x:v>
      </x:c>
      <x:c r="M2" s="26" t="str">
        <x:v>DK_PACKLIST_129266064(1).pdf</x:v>
      </x:c>
    </x:row>
    <x:row r="3">
      <x:c r="A3" s="22" t="str">
        <x:v>129266064</x:v>
      </x:c>
      <x:c r="B3" s="24" t="n">
        <x:v>46218</x:v>
      </x:c>
      <x:c r="C3" s="24" t="n">
        <x:v>46218</x:v>
      </x:c>
      <x:c r="D3" s="36" t="n">
        <x:v>2</x:v>
      </x:c>
      <x:c r="E3" s="23" t="str">
        <x:v>ICs - Comparator</x:v>
      </x:c>
      <x:c r="F3" s="23" t="str">
        <x:v>TLV3501AIDR</x:v>
      </x:c>
      <x:c r="G3" s="23" t="str">
        <x:v>296-43611-1-ND</x:v>
      </x:c>
      <x:c r="H3" s="23" t="str">
        <x:v>Texas Instruments</x:v>
      </x:c>
      <x:c r="I3" s="25" t="n">
        <x:v>3</x:v>
      </x:c>
      <x:c r="J3" s="25" t="n">
        <x:v>3</x:v>
      </x:c>
      <x:c r="K3" s="25" t="n">
        <x:v>0</x:v>
      </x:c>
      <x:c r="L3" s="23" t="str">
        <x:v>IC COMPARATOR 1CH 8-SOIC</x:v>
      </x:c>
      <x:c r="M3" s="26" t="str">
        <x:v>DK_PACKLIST_129266064(1).pdf</x:v>
      </x:c>
    </x:row>
    <x:row r="4">
      <x:c r="A4" s="22" t="str">
        <x:v>129266064</x:v>
      </x:c>
      <x:c r="B4" s="24" t="n">
        <x:v>46218</x:v>
      </x:c>
      <x:c r="C4" s="24" t="n">
        <x:v>46218</x:v>
      </x:c>
      <x:c r="D4" s="36" t="n">
        <x:v>3</x:v>
      </x:c>
      <x:c r="E4" s="23" t="str">
        <x:v>ICs - Amplifiers</x:v>
      </x:c>
      <x:c r="F4" s="23" t="str">
        <x:v>TLV9154IDR</x:v>
      </x:c>
      <x:c r="G4" s="23" t="str">
        <x:v>296-TLV9154IDRCT-ND</x:v>
      </x:c>
      <x:c r="H4" s="23" t="str">
        <x:v>Texas Instruments</x:v>
      </x:c>
      <x:c r="I4" s="25" t="n">
        <x:v>4</x:v>
      </x:c>
      <x:c r="J4" s="25" t="n">
        <x:v>4</x:v>
      </x:c>
      <x:c r="K4" s="25" t="n">
        <x:v>0</x:v>
      </x:c>
      <x:c r="L4" s="23" t="str">
        <x:v>IC OPAMP GP 4 CIRCUIT 14SOIC</x:v>
      </x:c>
      <x:c r="M4" s="26" t="str">
        <x:v>DK_PACKLIST_129266064(1).pdf</x:v>
      </x:c>
    </x:row>
    <x:row r="5">
      <x:c r="A5" s="22" t="str">
        <x:v>129819844</x:v>
      </x:c>
      <x:c r="B5" s="24" t="n">
        <x:v>46228</x:v>
      </x:c>
      <x:c r="C5" s="24" t="n">
        <x:v>46230</x:v>
      </x:c>
      <x:c r="D5" s="36" t="n">
        <x:v>1</x:v>
      </x:c>
      <x:c r="E5" s="23" t="str">
        <x:v>Resistors</x:v>
      </x:c>
      <x:c r="F5" s="23" t="str">
        <x:v>RGV3216P-3004-B-T1</x:v>
      </x:c>
      <x:c r="G5" s="23" t="str">
        <x:v>408-RGV3216P-3004-B-T1CT-ND</x:v>
      </x:c>
      <x:c r="H5" s="23" t="str">
        <x:v>Susumu</x:v>
      </x:c>
      <x:c r="I5" s="25" t="n">
        <x:v>20</x:v>
      </x:c>
      <x:c r="J5" s="25" t="n">
        <x:v>20</x:v>
      </x:c>
      <x:c r="K5" s="25" t="n">
        <x:v>0</x:v>
      </x:c>
      <x:c r="L5" s="23" t="str">
        <x:v>RESISTOR THIN FILM ANTIC SULFUR</x:v>
      </x:c>
      <x:c r="M5" s="26" t="str">
        <x:v>DK_PACKLIST_129819844(1).pdf</x:v>
      </x:c>
    </x:row>
    <x:row r="6">
      <x:c r="A6" s="22" t="str">
        <x:v>129819844</x:v>
      </x:c>
      <x:c r="B6" s="24" t="n">
        <x:v>46228</x:v>
      </x:c>
      <x:c r="C6" s="24" t="n">
        <x:v>46230</x:v>
      </x:c>
      <x:c r="D6" s="36" t="n">
        <x:v>2</x:v>
      </x:c>
      <x:c r="E6" s="23" t="str">
        <x:v>Resistors</x:v>
      </x:c>
      <x:c r="F6" s="23" t="str">
        <x:v>RGV3216P-3603-B-T1</x:v>
      </x:c>
      <x:c r="G6" s="23" t="str">
        <x:v>408-RGV3216P-3603-B-T1CT-ND</x:v>
      </x:c>
      <x:c r="H6" s="23" t="str">
        <x:v>Susumu</x:v>
      </x:c>
      <x:c r="I6" s="25" t="n">
        <x:v>20</x:v>
      </x:c>
      <x:c r="J6" s="25" t="n">
        <x:v>20</x:v>
      </x:c>
      <x:c r="K6" s="25" t="n">
        <x:v>0</x:v>
      </x:c>
      <x:c r="L6" s="23" t="str">
        <x:v>RES 360K OHM 0.1% 1/4W 1206</x:v>
      </x:c>
      <x:c r="M6" s="26" t="str">
        <x:v>DK_PACKLIST_129819844(1).pdf</x:v>
      </x:c>
    </x:row>
    <x:row r="7">
      <x:c r="A7" s="22" t="str">
        <x:v>129819844</x:v>
      </x:c>
      <x:c r="B7" s="24" t="n">
        <x:v>46228</x:v>
      </x:c>
      <x:c r="C7" s="24" t="n">
        <x:v>46230</x:v>
      </x:c>
      <x:c r="D7" s="36" t="n">
        <x:v>3</x:v>
      </x:c>
      <x:c r="E7" s="23" t="str">
        <x:v>Resistors</x:v>
      </x:c>
      <x:c r="F7" s="23" t="str">
        <x:v>RGV3216P-6203-B-T1</x:v>
      </x:c>
      <x:c r="G7" s="23" t="str">
        <x:v>408-RGV3216P-6203-B-T1CT-ND</x:v>
      </x:c>
      <x:c r="H7" s="23" t="str">
        <x:v>Susumu</x:v>
      </x:c>
      <x:c r="I7" s="25" t="n">
        <x:v>20</x:v>
      </x:c>
      <x:c r="J7" s="25" t="n">
        <x:v>20</x:v>
      </x:c>
      <x:c r="K7" s="25" t="n">
        <x:v>0</x:v>
      </x:c>
      <x:c r="L7" s="23" t="str">
        <x:v>RES 620K OHM 0.1% 1/4W 1206</x:v>
      </x:c>
      <x:c r="M7" s="26" t="str">
        <x:v>DK_PACKLIST_129819844(1).pdf</x:v>
      </x:c>
    </x:row>
    <x:row r="8">
      <x:c r="A8" s="22" t="str">
        <x:v>129819844</x:v>
      </x:c>
      <x:c r="B8" s="24" t="n">
        <x:v>46228</x:v>
      </x:c>
      <x:c r="C8" s="24" t="n">
        <x:v>46230</x:v>
      </x:c>
      <x:c r="D8" s="36" t="n">
        <x:v>4</x:v>
      </x:c>
      <x:c r="E8" s="23" t="str">
        <x:v>ICs - Amplifiers</x:v>
      </x:c>
      <x:c r="F8" s="23" t="str">
        <x:v>OPA197IDGKR</x:v>
      </x:c>
      <x:c r="G8" s="23" t="str">
        <x:v>296-44205-1-ND</x:v>
      </x:c>
      <x:c r="H8" s="23" t="str">
        <x:v>Texas Instruments</x:v>
      </x:c>
      <x:c r="I8" s="25" t="n">
        <x:v>4</x:v>
      </x:c>
      <x:c r="J8" s="25" t="n">
        <x:v>4</x:v>
      </x:c>
      <x:c r="K8" s="25" t="n">
        <x:v>0</x:v>
      </x:c>
      <x:c r="L8" s="23" t="str">
        <x:v>IC OPAMP GP 1 CIRCUIT 8VSSOP</x:v>
      </x:c>
      <x:c r="M8" s="26" t="str">
        <x:v>DK_PACKLIST_129819844(1).pdf</x:v>
      </x:c>
    </x:row>
    <x:row r="9">
      <x:c r="A9" s="22" t="str">
        <x:v>129819844</x:v>
      </x:c>
      <x:c r="B9" s="24" t="n">
        <x:v>46228</x:v>
      </x:c>
      <x:c r="C9" s="24" t="n">
        <x:v>46230</x:v>
      </x:c>
      <x:c r="D9" s="36" t="n">
        <x:v>5</x:v>
      </x:c>
      <x:c r="E9" s="23" t="str">
        <x:v>Diodes &amp; Protection</x:v>
      </x:c>
      <x:c r="F9" s="23" t="str">
        <x:v>BAV199-7-F</x:v>
      </x:c>
      <x:c r="G9" s="23" t="str">
        <x:v>BAV199-FDICT-ND</x:v>
      </x:c>
      <x:c r="H9" s="23" t="str">
        <x:v>Diodes Incorporated</x:v>
      </x:c>
      <x:c r="I9" s="25" t="n">
        <x:v>10</x:v>
      </x:c>
      <x:c r="J9" s="25" t="n">
        <x:v>10</x:v>
      </x:c>
      <x:c r="K9" s="25" t="n">
        <x:v>0</x:v>
      </x:c>
      <x:c r="L9" s="23" t="str">
        <x:v>DIODE ARRAY GP 85V 140MA SOT23-3</x:v>
      </x:c>
      <x:c r="M9" s="26" t="str">
        <x:v>DK_PACKLIST_129819844(1).pdf</x:v>
      </x:c>
    </x:row>
    <x:row r="10">
      <x:c r="A10" s="22" t="str">
        <x:v>129819844</x:v>
      </x:c>
      <x:c r="B10" s="24" t="n">
        <x:v>46228</x:v>
      </x:c>
      <x:c r="C10" s="24" t="n">
        <x:v>46230</x:v>
      </x:c>
      <x:c r="D10" s="36" t="n">
        <x:v>6</x:v>
      </x:c>
      <x:c r="E10" s="23" t="str">
        <x:v>Diodes &amp; Protection</x:v>
      </x:c>
      <x:c r="F10" s="23" t="str">
        <x:v>BAT54SFILMY</x:v>
      </x:c>
      <x:c r="G10" s="23" t="str">
        <x:v>497-12132-1-ND</x:v>
      </x:c>
      <x:c r="H10" s="23" t="str">
        <x:v>STMicroelectronics</x:v>
      </x:c>
      <x:c r="I10" s="25" t="n">
        <x:v>10</x:v>
      </x:c>
      <x:c r="J10" s="25" t="n">
        <x:v>10</x:v>
      </x:c>
      <x:c r="K10" s="25" t="n">
        <x:v>0</x:v>
      </x:c>
      <x:c r="L10" s="23" t="str">
        <x:v>DIODE ARR SCHOTT 40V 300MA SOT23</x:v>
      </x:c>
      <x:c r="M10" s="26" t="str">
        <x:v>DK_PACKLIST_129819844(1).pdf</x:v>
      </x:c>
    </x:row>
    <x:row r="11">
      <x:c r="A11" s="22" t="str">
        <x:v>129819844</x:v>
      </x:c>
      <x:c r="B11" s="24" t="n">
        <x:v>46228</x:v>
      </x:c>
      <x:c r="C11" s="24" t="n">
        <x:v>46230</x:v>
      </x:c>
      <x:c r="D11" s="36" t="n">
        <x:v>7</x:v>
      </x:c>
      <x:c r="E11" s="23" t="str">
        <x:v>Relays</x:v>
      </x:c>
      <x:c r="F11" s="23" t="str">
        <x:v>9201-05-00TR</x:v>
      </x:c>
      <x:c r="G11" s="23" t="str">
        <x:v>306-1389-1-ND</x:v>
      </x:c>
      <x:c r="H11" s="23" t="str">
        <x:v>Coto Technology</x:v>
      </x:c>
      <x:c r="I11" s="25" t="n">
        <x:v>2</x:v>
      </x:c>
      <x:c r="J11" s="25" t="n">
        <x:v>2</x:v>
      </x:c>
      <x:c r="K11" s="25" t="n">
        <x:v>0</x:v>
      </x:c>
      <x:c r="L11" s="23" t="str">
        <x:v>RELAY REED SPST 500MA 5V</x:v>
      </x:c>
      <x:c r="M11" s="26" t="str">
        <x:v>DK_PACKLIST_129819844(1).pdf</x:v>
      </x:c>
    </x:row>
    <x:row r="12">
      <x:c r="A12" s="22" t="str">
        <x:v>129819844</x:v>
      </x:c>
      <x:c r="B12" s="24" t="n">
        <x:v>46228</x:v>
      </x:c>
      <x:c r="C12" s="24" t="n">
        <x:v>46230</x:v>
      </x:c>
      <x:c r="D12" s="36" t="n">
        <x:v>8</x:v>
      </x:c>
      <x:c r="E12" s="23" t="str">
        <x:v>ICs - Digital Potentiometer</x:v>
      </x:c>
      <x:c r="F12" s="23" t="str">
        <x:v>ISL23415WFUZ</x:v>
      </x:c>
      <x:c r="G12" s="23" t="str">
        <x:v>ISL23415WFUZ-ND</x:v>
      </x:c>
      <x:c r="H12" s="23" t="str">
        <x:v>Renesas Electronics Corporation</x:v>
      </x:c>
      <x:c r="I12" s="25" t="n">
        <x:v>3</x:v>
      </x:c>
      <x:c r="J12" s="25" t="n">
        <x:v>3</x:v>
      </x:c>
      <x:c r="K12" s="25" t="n">
        <x:v>0</x:v>
      </x:c>
      <x:c r="L12" s="23" t="str">
        <x:v>IC DIG POT 10K 10-MSOP</x:v>
      </x:c>
      <x:c r="M12" s="26" t="str">
        <x:v>DK_PACKLIST_129819844(1).pdf</x:v>
      </x:c>
    </x:row>
    <x:row r="13">
      <x:c r="A13" s="22" t="str">
        <x:v>129819844</x:v>
      </x:c>
      <x:c r="B13" s="24" t="n">
        <x:v>46228</x:v>
      </x:c>
      <x:c r="C13" s="24" t="n">
        <x:v>46230</x:v>
      </x:c>
      <x:c r="D13" s="36" t="n">
        <x:v>9</x:v>
      </x:c>
      <x:c r="E13" s="23" t="str">
        <x:v>ICs - ADC</x:v>
      </x:c>
      <x:c r="F13" s="23" t="str">
        <x:v>ADS1220IPWR</x:v>
      </x:c>
      <x:c r="G13" s="23" t="str">
        <x:v>296-39851-1-ND</x:v>
      </x:c>
      <x:c r="H13" s="23" t="str">
        <x:v>Texas Instruments</x:v>
      </x:c>
      <x:c r="I13" s="25" t="n">
        <x:v>2</x:v>
      </x:c>
      <x:c r="J13" s="25" t="n">
        <x:v>2</x:v>
      </x:c>
      <x:c r="K13" s="25" t="n">
        <x:v>0</x:v>
      </x:c>
      <x:c r="L13" s="23" t="str">
        <x:v>IC ADC 24BIT 16-TSSOP</x:v>
      </x:c>
      <x:c r="M13" s="26" t="str">
        <x:v>DK_PACKLIST_129819844(1).pdf</x:v>
      </x:c>
    </x:row>
    <x:row r="14">
      <x:c r="A14" s="22" t="str">
        <x:v>129819844</x:v>
      </x:c>
      <x:c r="B14" s="24" t="n">
        <x:v>46228</x:v>
      </x:c>
      <x:c r="C14" s="24" t="n">
        <x:v>46230</x:v>
      </x:c>
      <x:c r="D14" s="36" t="n">
        <x:v>10</x:v>
      </x:c>
      <x:c r="E14" s="23" t="str">
        <x:v>Resistors</x:v>
      </x:c>
      <x:c r="F14" s="23" t="str">
        <x:v>RNCF0805TKY10K0</x:v>
      </x:c>
      <x:c r="G14" s="23" t="str">
        <x:v>RNCF0805TKY10K0CT-ND</x:v>
      </x:c>
      <x:c r="H14" s="23" t="str">
        <x:v>Stackpole Electronics Inc.</x:v>
      </x:c>
      <x:c r="I14" s="25" t="n">
        <x:v>10</x:v>
      </x:c>
      <x:c r="J14" s="25" t="n">
        <x:v>10</x:v>
      </x:c>
      <x:c r="K14" s="25" t="n">
        <x:v>0</x:v>
      </x:c>
      <x:c r="L14" s="23" t="str">
        <x:v>RES SMD 10K OHM 0.01% 1/8W 0805</x:v>
      </x:c>
      <x:c r="M14" s="26" t="str">
        <x:v>DK_PACKLIST_129819844(1).pdf</x:v>
      </x:c>
    </x:row>
    <x:row r="15">
      <x:c r="A15" s="22" t="str">
        <x:v>130620885</x:v>
      </x:c>
      <x:c r="B15" s="24" t="n">
        <x:v>46242</x:v>
      </x:c>
      <x:c r="C15" s="24" t="n">
        <x:v>46243</x:v>
      </x:c>
      <x:c r="D15" s="36" t="n">
        <x:v>1</x:v>
      </x:c>
      <x:c r="E15" s="23" t="str">
        <x:v>ICs - Analog Switching</x:v>
      </x:c>
      <x:c r="F15" s="23" t="str">
        <x:v>TMUX1109PWR</x:v>
      </x:c>
      <x:c r="G15" s="23" t="str">
        <x:v>296-53438-1-ND</x:v>
      </x:c>
      <x:c r="H15" s="23" t="str">
        <x:v>Texas Instruments</x:v>
      </x:c>
      <x:c r="I15" s="25" t="n">
        <x:v>2</x:v>
      </x:c>
      <x:c r="J15" s="25" t="n">
        <x:v>2</x:v>
      </x:c>
      <x:c r="K15" s="25" t="n">
        <x:v>0</x:v>
      </x:c>
      <x:c r="L15" s="23" t="str">
        <x:v>IC MUX DUAL 4:1 4OHM 16TSSOP</x:v>
      </x:c>
      <x:c r="M15" s="26" t="str">
        <x:v>DK_PACKLIST_130620885(1).pdf</x:v>
      </x:c>
    </x:row>
    <x:row r="16">
      <x:c r="A16" s="22" t="str">
        <x:v>130620885</x:v>
      </x:c>
      <x:c r="B16" s="24" t="n">
        <x:v>46242</x:v>
      </x:c>
      <x:c r="C16" s="24" t="n">
        <x:v>46243</x:v>
      </x:c>
      <x:c r="D16" s="36" t="n">
        <x:v>2</x:v>
      </x:c>
      <x:c r="E16" s="23" t="str">
        <x:v>ICs - Analog Switching</x:v>
      </x:c>
      <x:c r="F16" s="23" t="str">
        <x:v>TMUX1108PWR</x:v>
      </x:c>
      <x:c r="G16" s="23" t="str">
        <x:v>296-53256-1-ND</x:v>
      </x:c>
      <x:c r="H16" s="23" t="str">
        <x:v>Texas Instruments</x:v>
      </x:c>
      <x:c r="I16" s="25" t="n">
        <x:v>2</x:v>
      </x:c>
      <x:c r="J16" s="25" t="n">
        <x:v>2</x:v>
      </x:c>
      <x:c r="K16" s="25" t="n">
        <x:v>0</x:v>
      </x:c>
      <x:c r="L16" s="23" t="str">
        <x:v>IC MUX 8:1 4OHM 16TSSOP</x:v>
      </x:c>
      <x:c r="M16" s="26" t="str">
        <x:v>DK_PACKLIST_130620885(1).pdf</x:v>
      </x:c>
    </x:row>
    <x:row r="17">
      <x:c r="A17" s="22" t="str">
        <x:v>130620885</x:v>
      </x:c>
      <x:c r="B17" s="24" t="n">
        <x:v>46242</x:v>
      </x:c>
      <x:c r="C17" s="24" t="n">
        <x:v>46243</x:v>
      </x:c>
      <x:c r="D17" s="36" t="n">
        <x:v>3</x:v>
      </x:c>
      <x:c r="E17" s="23" t="str">
        <x:v>Relays</x:v>
      </x:c>
      <x:c r="F17" s="23" t="str">
        <x:v>TQ2-3V</x:v>
      </x:c>
      <x:c r="G17" s="23" t="str">
        <x:v>255-1225-5-ND</x:v>
      </x:c>
      <x:c r="H17" s="23" t="str">
        <x:v>Panasonic Industry</x:v>
      </x:c>
      <x:c r="I17" s="25" t="n">
        <x:v>2</x:v>
      </x:c>
      <x:c r="J17" s="25" t="n">
        <x:v>2</x:v>
      </x:c>
      <x:c r="K17" s="25" t="n">
        <x:v>0</x:v>
      </x:c>
      <x:c r="L17" s="23" t="str">
        <x:v>RELAY TELECOM DPDT 1A 3V</x:v>
      </x:c>
      <x:c r="M17" s="26" t="str">
        <x:v>DK_PACKLIST_130620885(1).pdf</x:v>
      </x:c>
    </x:row>
    <x:row r="18">
      <x:c r="A18" s="22" t="str">
        <x:v>130620885</x:v>
      </x:c>
      <x:c r="B18" s="24" t="n">
        <x:v>46242</x:v>
      </x:c>
      <x:c r="C18" s="24" t="n">
        <x:v>46243</x:v>
      </x:c>
      <x:c r="D18" s="36" t="n">
        <x:v>4</x:v>
      </x:c>
      <x:c r="E18" s="23" t="str">
        <x:v>Resistors</x:v>
      </x:c>
      <x:c r="F18" s="23" t="str">
        <x:v>CPF-A-0805B1M0E1</x:v>
      </x:c>
      <x:c r="G18" s="23" t="str">
        <x:v>1712-CPF-A-0805B1M0E1CT-ND</x:v>
      </x:c>
      <x:c r="H18" s="23" t="str">
        <x:v>TE Connectivity Passive Product</x:v>
      </x:c>
      <x:c r="I18" s="25" t="n">
        <x:v>10</x:v>
      </x:c>
      <x:c r="J18" s="25" t="n">
        <x:v>10</x:v>
      </x:c>
      <x:c r="K18" s="25" t="n">
        <x:v>0</x:v>
      </x:c>
      <x:c r="L18" s="23" t="str">
        <x:v>RES SMD 1M OHM 0.1% 1/10W 0805</x:v>
      </x:c>
      <x:c r="M18" s="26" t="str">
        <x:v>DK_PACKLIST_130620885(1).pdf</x:v>
      </x:c>
    </x:row>
    <x:row r="19">
      <x:c r="A19" s="22" t="str">
        <x:v>130620885</x:v>
      </x:c>
      <x:c r="B19" s="24" t="n">
        <x:v>46242</x:v>
      </x:c>
      <x:c r="C19" s="24" t="n">
        <x:v>46243</x:v>
      </x:c>
      <x:c r="D19" s="36" t="n">
        <x:v>5</x:v>
      </x:c>
      <x:c r="E19" s="23" t="str">
        <x:v>Resistors</x:v>
      </x:c>
      <x:c r="F19" s="23" t="str">
        <x:v>CPF-A-0805B100KE1</x:v>
      </x:c>
      <x:c r="G19" s="23" t="str">
        <x:v>1712-CPF-A-0805B100KE1CT-ND</x:v>
      </x:c>
      <x:c r="H19" s="23" t="str">
        <x:v>TE Connectivity Passive Product</x:v>
      </x:c>
      <x:c r="I19" s="25" t="n">
        <x:v>10</x:v>
      </x:c>
      <x:c r="J19" s="25" t="n">
        <x:v>10</x:v>
      </x:c>
      <x:c r="K19" s="25" t="n">
        <x:v>0</x:v>
      </x:c>
      <x:c r="L19" s="23" t="str">
        <x:v>RES SMD 100K OHM 0.1% 1/10W 0805</x:v>
      </x:c>
      <x:c r="M19" s="26" t="str">
        <x:v>DK_PACKLIST_130620885(1).pdf</x:v>
      </x:c>
    </x:row>
    <x:row r="20">
      <x:c r="A20" s="22" t="str">
        <x:v>130620885</x:v>
      </x:c>
      <x:c r="B20" s="24" t="n">
        <x:v>46242</x:v>
      </x:c>
      <x:c r="C20" s="24" t="n">
        <x:v>46243</x:v>
      </x:c>
      <x:c r="D20" s="36" t="n">
        <x:v>6</x:v>
      </x:c>
      <x:c r="E20" s="23" t="str">
        <x:v>Resistors</x:v>
      </x:c>
      <x:c r="F20" s="23" t="str">
        <x:v>MCA1206MD1005BP500</x:v>
      </x:c>
      <x:c r="G20" s="23" t="str">
        <x:v>749-MCA1206MD1005BP500CT-ND</x:v>
      </x:c>
      <x:c r="H20" s="23" t="str">
        <x:v>Vishay</x:v>
      </x:c>
      <x:c r="I20" s="25" t="n">
        <x:v>10</x:v>
      </x:c>
      <x:c r="J20" s="25" t="n">
        <x:v>10</x:v>
      </x:c>
      <x:c r="K20" s="25" t="n">
        <x:v>0</x:v>
      </x:c>
      <x:c r="L20" s="23" t="str">
        <x:v>RES 10M OHM 0.1% 0.52W 1206</x:v>
      </x:c>
      <x:c r="M20" s="26" t="str">
        <x:v>DK_PACKLIST_130620885(1).pdf</x:v>
      </x:c>
    </x:row>
    <x:row r="21">
      <x:c r="A21" s="22" t="str">
        <x:v>130620885</x:v>
      </x:c>
      <x:c r="B21" s="24" t="n">
        <x:v>46242</x:v>
      </x:c>
      <x:c r="C21" s="24" t="n">
        <x:v>46243</x:v>
      </x:c>
      <x:c r="D21" s="36" t="n">
        <x:v>7</x:v>
      </x:c>
      <x:c r="E21" s="23" t="str">
        <x:v>Fuses &amp; Protection</x:v>
      </x:c>
      <x:c r="F21" s="23" t="str">
        <x:v>MF-R010-2</x:v>
      </x:c>
      <x:c r="G21" s="23" t="str">
        <x:v>118-MF-R010-2CT-ND</x:v>
      </x:c>
      <x:c r="H21" s="23" t="str">
        <x:v>Bourns Inc.</x:v>
      </x:c>
      <x:c r="I21" s="25" t="n">
        <x:v>5</x:v>
      </x:c>
      <x:c r="J21" s="25" t="n">
        <x:v>5</x:v>
      </x:c>
      <x:c r="K21" s="25" t="n">
        <x:v>0</x:v>
      </x:c>
      <x:c r="L21" s="23" t="str">
        <x:v>PTC RESET FUSE 60V 100MA RADIAL</x:v>
      </x:c>
      <x:c r="M21" s="26" t="str">
        <x:v>DK_PACKLIST_130620885(1).pdf</x:v>
      </x:c>
    </x:row>
    <x:row r="22">
      <x:c r="A22" s="22" t="str">
        <x:v>131043164</x:v>
      </x:c>
      <x:c r="B22" s="24" t="n">
        <x:v>46251</x:v>
      </x:c>
      <x:c r="C22" s="24" t="n">
        <x:v>46252</x:v>
      </x:c>
      <x:c r="D22" s="36" t="n">
        <x:v>1</x:v>
      </x:c>
      <x:c r="E22" s="23" t="str">
        <x:v>Diodes &amp; Protection</x:v>
      </x:c>
      <x:c r="F22" s="23" t="str">
        <x:v>1N914BWT</x:v>
      </x:c>
      <x:c r="G22" s="23" t="str">
        <x:v>1N914BWTCT-ND</x:v>
      </x:c>
      <x:c r="H22" s="23" t="str">
        <x:v>onsemi</x:v>
      </x:c>
      <x:c r="I22" s="25" t="n">
        <x:v>10</x:v>
      </x:c>
      <x:c r="J22" s="25" t="n">
        <x:v>10</x:v>
      </x:c>
      <x:c r="K22" s="25" t="n">
        <x:v>0</x:v>
      </x:c>
      <x:c r="L22" s="23" t="str">
        <x:v>DIODE STANDARD 75V 200MA SOD523F</x:v>
      </x:c>
      <x:c r="M22" s="26" t="str">
        <x:v>DK_PACKLIST_131043164.pdf</x:v>
      </x:c>
    </x:row>
    <x:row r="23">
      <x:c r="A23" s="22" t="str">
        <x:v>131043164</x:v>
      </x:c>
      <x:c r="B23" s="24" t="n">
        <x:v>46251</x:v>
      </x:c>
      <x:c r="C23" s="24" t="n">
        <x:v>46252</x:v>
      </x:c>
      <x:c r="D23" s="36" t="n">
        <x:v>2</x:v>
      </x:c>
      <x:c r="E23" s="23" t="str">
        <x:v>Transistors</x:v>
      </x:c>
      <x:c r="F23" s="23" t="str">
        <x:v>MMBT3904LT1G</x:v>
      </x:c>
      <x:c r="G23" s="23" t="str">
        <x:v>MMBT3904LT1GOSCT-ND</x:v>
      </x:c>
      <x:c r="H23" s="23" t="str">
        <x:v>onsemi</x:v>
      </x:c>
      <x:c r="I23" s="25" t="n">
        <x:v>20</x:v>
      </x:c>
      <x:c r="J23" s="25" t="n">
        <x:v>20</x:v>
      </x:c>
      <x:c r="K23" s="25" t="n">
        <x:v>0</x:v>
      </x:c>
      <x:c r="L23" s="23" t="str">
        <x:v>TRANS NPN 40V 0.2A SOT23-3</x:v>
      </x:c>
      <x:c r="M23" s="26" t="str">
        <x:v>DK_PACKLIST_131043164.pdf</x:v>
      </x:c>
    </x:row>
    <x:row r="24">
      <x:c r="A24" s="22" t="str">
        <x:v>131043164</x:v>
      </x:c>
      <x:c r="B24" s="24" t="n">
        <x:v>46251</x:v>
      </x:c>
      <x:c r="C24" s="24" t="n">
        <x:v>46252</x:v>
      </x:c>
      <x:c r="D24" s="36" t="n">
        <x:v>3</x:v>
      </x:c>
      <x:c r="E24" s="23" t="str">
        <x:v>ICs - Power Management</x:v>
      </x:c>
      <x:c r="F24" s="23" t="str">
        <x:v>LM27762DSSR</x:v>
      </x:c>
      <x:c r="G24" s="23" t="str">
        <x:v>296-47331-1-ND</x:v>
      </x:c>
      <x:c r="H24" s="23" t="str">
        <x:v>Texas Instruments</x:v>
      </x:c>
      <x:c r="I24" s="25" t="n">
        <x:v>2</x:v>
      </x:c>
      <x:c r="J24" s="25" t="n">
        <x:v>2</x:v>
      </x:c>
      <x:c r="K24" s="25" t="n">
        <x:v>0</x:v>
      </x:c>
      <x:c r="L24" s="23" t="str">
        <x:v>IC REG CHARGE PUMP ADJ DL 12WSON</x:v>
      </x:c>
      <x:c r="M24" s="26" t="str">
        <x:v>DK_PACKLIST_131043164.pdf</x:v>
      </x:c>
    </x:row>
    <x:row r="25">
      <x:c r="A25" s="22" t="str">
        <x:v>131043164</x:v>
      </x:c>
      <x:c r="B25" s="24" t="n">
        <x:v>46251</x:v>
      </x:c>
      <x:c r="C25" s="24" t="n">
        <x:v>46252</x:v>
      </x:c>
      <x:c r="D25" s="36" t="n">
        <x:v>4</x:v>
      </x:c>
      <x:c r="E25" s="23" t="str">
        <x:v>ICs - Analog Switching</x:v>
      </x:c>
      <x:c r="F25" s="23" t="str">
        <x:v>TMUX7462FPWR</x:v>
      </x:c>
      <x:c r="G25" s="23" t="str">
        <x:v>296-TMUX7462FPWRCT-ND</x:v>
      </x:c>
      <x:c r="H25" s="23" t="str">
        <x:v>Texas Instruments</x:v>
      </x:c>
      <x:c r="I25" s="25" t="n">
        <x:v>2</x:v>
      </x:c>
      <x:c r="J25" s="25" t="n">
        <x:v>2</x:v>
      </x:c>
      <x:c r="K25" s="25" t="n">
        <x:v>0</x:v>
      </x:c>
      <x:c r="L25" s="23" t="str">
        <x:v>60-V FAULT-PROTECTED, LATCH-UP I</x:v>
      </x:c>
      <x:c r="M25" s="26" t="str">
        <x:v>DK_PACKLIST_131043164.pdf</x:v>
      </x:c>
    </x:row>
    <x:row r="26">
      <x:c r="A26" s="22" t="str">
        <x:v>131043164</x:v>
      </x:c>
      <x:c r="B26" s="24" t="n">
        <x:v>46251</x:v>
      </x:c>
      <x:c r="C26" s="24" t="n">
        <x:v>46252</x:v>
      </x:c>
      <x:c r="D26" s="36" t="n">
        <x:v>5</x:v>
      </x:c>
      <x:c r="E26" s="23" t="str">
        <x:v>Diodes &amp; Protection</x:v>
      </x:c>
      <x:c r="F26" s="23" t="str">
        <x:v>PTVS60VP1UP,115</x:v>
      </x:c>
      <x:c r="G26" s="23" t="str">
        <x:v>1727-4448-1-ND</x:v>
      </x:c>
      <x:c r="H26" s="23" t="str">
        <x:v>Nexperia USA Inc.</x:v>
      </x:c>
      <x:c r="I26" s="25" t="n">
        <x:v>10</x:v>
      </x:c>
      <x:c r="J26" s="25" t="n">
        <x:v>10</x:v>
      </x:c>
      <x:c r="K26" s="25" t="n">
        <x:v>0</x:v>
      </x:c>
      <x:c r="L26" s="23" t="str">
        <x:v>TVS DIODE 60VWM 96.8VC SOD1285</x:v>
      </x:c>
      <x:c r="M26" s="26" t="str">
        <x:v>DK_PACKLIST_131043164.pdf</x:v>
      </x:c>
    </x:row>
    <x:row r="27">
      <x:c r="A27" s="22" t="str">
        <x:v>131043164</x:v>
      </x:c>
      <x:c r="B27" s="24" t="n">
        <x:v>46251</x:v>
      </x:c>
      <x:c r="C27" s="24" t="n">
        <x:v>46252</x:v>
      </x:c>
      <x:c r="D27" s="36" t="n">
        <x:v>6</x:v>
      </x:c>
      <x:c r="E27" s="23" t="str">
        <x:v>ICs - Power Management</x:v>
      </x:c>
      <x:c r="F27" s="23" t="str">
        <x:v>BQ25180YBGR</x:v>
      </x:c>
      <x:c r="G27" s="23" t="str">
        <x:v>296-BQ25180YBGRCT-ND</x:v>
      </x:c>
      <x:c r="H27" s="23" t="str">
        <x:v>Texas Instruments</x:v>
      </x:c>
      <x:c r="I27" s="25" t="n">
        <x:v>3</x:v>
      </x:c>
      <x:c r="J27" s="25" t="n">
        <x:v>3</x:v>
      </x:c>
      <x:c r="K27" s="25" t="n">
        <x:v>0</x:v>
      </x:c>
      <x:c r="L27" s="23" t="str">
        <x:v>1-A LI-ION IC PROGRAMMABLE CHARG</x:v>
      </x:c>
      <x:c r="M27" s="26" t="str">
        <x:v>DK_PACKLIST_131043164.pdf</x:v>
      </x:c>
    </x:row>
    <x:row r="28">
      <x:c r="A28" s="22" t="str">
        <x:v>131043164</x:v>
      </x:c>
      <x:c r="B28" s="24" t="n">
        <x:v>46251</x:v>
      </x:c>
      <x:c r="C28" s="24" t="n">
        <x:v>46252</x:v>
      </x:c>
      <x:c r="D28" s="36" t="n">
        <x:v>7</x:v>
      </x:c>
      <x:c r="E28" s="23" t="str">
        <x:v>ICs - Power Management</x:v>
      </x:c>
      <x:c r="F28" s="23" t="str">
        <x:v>TPS63900DSKR</x:v>
      </x:c>
      <x:c r="G28" s="23" t="str">
        <x:v>296-TPS63900DSKRCT-ND</x:v>
      </x:c>
      <x:c r="H28" s="23" t="str">
        <x:v>Texas Instruments</x:v>
      </x:c>
      <x:c r="I28" s="25" t="n">
        <x:v>4</x:v>
      </x:c>
      <x:c r="J28" s="25" t="n">
        <x:v>4</x:v>
      </x:c>
      <x:c r="K28" s="25" t="n">
        <x:v>0</x:v>
      </x:c>
      <x:c r="L28" s="23" t="str">
        <x:v>IC REG BUCK BST PROG 400MA 10SON</x:v>
      </x:c>
      <x:c r="M28" s="26" t="str">
        <x:v>DK_PACKLIST_131043164.pdf</x:v>
      </x:c>
    </x:row>
    <x:row r="29">
      <x:c r="A29" s="22" t="str">
        <x:v>131043164</x:v>
      </x:c>
      <x:c r="B29" s="24" t="n">
        <x:v>46251</x:v>
      </x:c>
      <x:c r="C29" s="24" t="n">
        <x:v>46252</x:v>
      </x:c>
      <x:c r="D29" s="36" t="n">
        <x:v>8</x:v>
      </x:c>
      <x:c r="E29" s="23" t="str">
        <x:v>Inductors</x:v>
      </x:c>
      <x:c r="F29" s="23" t="str">
        <x:v>74479275222</x:v>
      </x:c>
      <x:c r="G29" s="23" t="str">
        <x:v>732-9708-1-ND</x:v>
      </x:c>
      <x:c r="H29" s="23" t="str">
        <x:v>Würth Elektronik</x:v>
      </x:c>
      <x:c r="I29" s="25" t="n">
        <x:v>4</x:v>
      </x:c>
      <x:c r="J29" s="25" t="n">
        <x:v>4</x:v>
      </x:c>
      <x:c r="K29" s="25" t="n">
        <x:v>0</x:v>
      </x:c>
      <x:c r="L29" s="23" t="str">
        <x:v>FIXED IND 2.2UH 2A 190 MOHM SMD</x:v>
      </x:c>
      <x:c r="M29" s="26" t="str">
        <x:v>DK_PACKLIST_131043164.pdf</x:v>
      </x:c>
    </x:row>
    <x:row r="30">
      <x:c r="A30" s="22" t="str">
        <x:v>131043164</x:v>
      </x:c>
      <x:c r="B30" s="24" t="n">
        <x:v>46251</x:v>
      </x:c>
      <x:c r="C30" s="24" t="n">
        <x:v>46252</x:v>
      </x:c>
      <x:c r="D30" s="36" t="n">
        <x:v>9</x:v>
      </x:c>
      <x:c r="E30" s="23" t="str">
        <x:v>ICs - Power Management</x:v>
      </x:c>
      <x:c r="F30" s="23" t="str">
        <x:v>TPS7A3901DSCR</x:v>
      </x:c>
      <x:c r="G30" s="23" t="str">
        <x:v>296-TPS7A3901DSCRCT-ND</x:v>
      </x:c>
      <x:c r="H30" s="23" t="str">
        <x:v>Texas Instruments</x:v>
      </x:c>
      <x:c r="I30" s="25" t="n">
        <x:v>2</x:v>
      </x:c>
      <x:c r="J30" s="25" t="n">
        <x:v>2</x:v>
      </x:c>
      <x:c r="K30" s="25" t="n">
        <x:v>0</x:v>
      </x:c>
      <x:c r="L30" s="23" t="str">
        <x:v>IC REG LINEAR POS/NEG ADJ 10WSON</x:v>
      </x:c>
      <x:c r="M30" s="26" t="str">
        <x:v>DK_PACKLIST_131043164.pdf</x:v>
      </x:c>
    </x:row>
    <x:row r="31">
      <x:c r="A31" s="22" t="str">
        <x:v>131043164</x:v>
      </x:c>
      <x:c r="B31" s="24" t="n">
        <x:v>46251</x:v>
      </x:c>
      <x:c r="C31" s="24" t="n">
        <x:v>46252</x:v>
      </x:c>
      <x:c r="D31" s="36" t="n">
        <x:v>10</x:v>
      </x:c>
      <x:c r="E31" s="23" t="str">
        <x:v>Sensors</x:v>
      </x:c>
      <x:c r="F31" s="23" t="str">
        <x:v>NCU18XH103F6SRB</x:v>
      </x:c>
      <x:c r="G31" s="23" t="str">
        <x:v>490-18139-1-ND</x:v>
      </x:c>
      <x:c r="H31" s="23" t="str">
        <x:v>Murata Electronics</x:v>
      </x:c>
      <x:c r="I31" s="25" t="n">
        <x:v>5</x:v>
      </x:c>
      <x:c r="J31" s="25" t="n">
        <x:v>5</x:v>
      </x:c>
      <x:c r="K31" s="25" t="n">
        <x:v>0</x:v>
      </x:c>
      <x:c r="L31" s="23" t="str">
        <x:v>THERMISTOR NTC 10KOHM 3380K 0603</x:v>
      </x:c>
      <x:c r="M31" s="26" t="str">
        <x:v>DK_PACKLIST_131043164.pdf</x:v>
      </x:c>
    </x:row>
    <x:row r="32">
      <x:c r="A32" s="22" t="str">
        <x:v>131043164</x:v>
      </x:c>
      <x:c r="B32" s="24" t="n">
        <x:v>46251</x:v>
      </x:c>
      <x:c r="C32" s="24" t="n">
        <x:v>46252</x:v>
      </x:c>
      <x:c r="D32" s="36" t="n">
        <x:v>11</x:v>
      </x:c>
      <x:c r="E32" s="23" t="str">
        <x:v>Connectors</x:v>
      </x:c>
      <x:c r="F32" s="23" t="str">
        <x:v>S2B-PH-SM4-TB</x:v>
      </x:c>
      <x:c r="G32" s="23" t="str">
        <x:v>455-S2B-PH-SM4-TBCT-ND</x:v>
      </x:c>
      <x:c r="H32" s="23" t="str">
        <x:v>JST Sales America Inc.</x:v>
      </x:c>
      <x:c r="I32" s="25" t="n">
        <x:v>3</x:v>
      </x:c>
      <x:c r="J32" s="25" t="n">
        <x:v>3</x:v>
      </x:c>
      <x:c r="K32" s="25" t="n">
        <x:v>0</x:v>
      </x:c>
      <x:c r="L32" s="23" t="str">
        <x:v>CONN HEADER SMD R/A 2POS 2MM</x:v>
      </x:c>
      <x:c r="M32" s="26" t="str">
        <x:v>DK_PACKLIST_131043164.pdf</x:v>
      </x:c>
    </x:row>
    <x:row r="33">
      <x:c r="A33" s="22" t="str">
        <x:v>131043164</x:v>
      </x:c>
      <x:c r="B33" s="24" t="n">
        <x:v>46251</x:v>
      </x:c>
      <x:c r="C33" s="24" t="n">
        <x:v>46252</x:v>
      </x:c>
      <x:c r="D33" s="36" t="n">
        <x:v>12</x:v>
      </x:c>
      <x:c r="E33" s="23" t="str">
        <x:v>Crystals</x:v>
      </x:c>
      <x:c r="F33" s="23" t="str">
        <x:v>RT3215-32.768-12.5-TR-10PPM</x:v>
      </x:c>
      <x:c r="G33" s="23" t="str">
        <x:v>2151-RT3215-32.768-12.5-TR-10PPMCT-ND</x:v>
      </x:c>
      <x:c r="H33" s="23" t="str">
        <x:v>Raltron Electronics</x:v>
      </x:c>
      <x:c r="I33" s="25" t="n">
        <x:v>3</x:v>
      </x:c>
      <x:c r="J33" s="25" t="n">
        <x:v>3</x:v>
      </x:c>
      <x:c r="K33" s="25" t="n">
        <x:v>0</x:v>
      </x:c>
      <x:c r="L33" s="23" t="str">
        <x:v>CRYSTAL 32.7680KHZ 12.5PF SMD</x:v>
      </x:c>
      <x:c r="M33" s="26" t="str">
        <x:v>DK_PACKLIST_131043164.pdf</x:v>
      </x:c>
    </x:row>
    <x:row r="34">
      <x:c r="A34" s="22" t="str">
        <x:v>131043164</x:v>
      </x:c>
      <x:c r="B34" s="24" t="n">
        <x:v>46251</x:v>
      </x:c>
      <x:c r="C34" s="24" t="n">
        <x:v>46252</x:v>
      </x:c>
      <x:c r="D34" s="36" t="n">
        <x:v>13</x:v>
      </x:c>
      <x:c r="E34" s="23" t="str">
        <x:v>Connectors</x:v>
      </x:c>
      <x:c r="F34" s="23" t="str">
        <x:v>USB4105-GF-A</x:v>
      </x:c>
      <x:c r="G34" s="23" t="str">
        <x:v>2073-USB4105-GF-ACT-ND</x:v>
      </x:c>
      <x:c r="H34" s="23" t="str">
        <x:v>GCT</x:v>
      </x:c>
      <x:c r="I34" s="25" t="n">
        <x:v>3</x:v>
      </x:c>
      <x:c r="J34" s="25" t="n">
        <x:v>3</x:v>
      </x:c>
      <x:c r="K34" s="25" t="n">
        <x:v>0</x:v>
      </x:c>
      <x:c r="L34" s="23" t="str">
        <x:v>CONN RCP USB2.0 TYP C 16P SMD RA</x:v>
      </x:c>
      <x:c r="M34" s="26" t="str">
        <x:v>DK_PACKLIST_131043164.pdf</x:v>
      </x:c>
    </x:row>
    <x:row r="35">
      <x:c r="A35" s="22" t="str">
        <x:v>131043164</x:v>
      </x:c>
      <x:c r="B35" s="24" t="n">
        <x:v>46251</x:v>
      </x:c>
      <x:c r="C35" s="24" t="n">
        <x:v>46252</x:v>
      </x:c>
      <x:c r="D35" s="36" t="n">
        <x:v>14</x:v>
      </x:c>
      <x:c r="E35" s="23" t="str">
        <x:v>Connectors</x:v>
      </x:c>
      <x:c r="F35" s="23" t="str">
        <x:v>FTSH-105-01-L-DV-K</x:v>
      </x:c>
      <x:c r="G35" s="23" t="str">
        <x:v>SAM8799-ND</x:v>
      </x:c>
      <x:c r="H35" s="23" t="str">
        <x:v>Samtec Inc.</x:v>
      </x:c>
      <x:c r="I35" s="25" t="n">
        <x:v>2</x:v>
      </x:c>
      <x:c r="J35" s="25" t="n">
        <x:v>2</x:v>
      </x:c>
      <x:c r="K35" s="25" t="n">
        <x:v>0</x:v>
      </x:c>
      <x:c r="L35" s="23" t="str">
        <x:v>CONN HEADER SMD 10POS 1.27MM</x:v>
      </x:c>
      <x:c r="M35" s="26" t="str">
        <x:v>DK_PACKLIST_131043164.pdf</x:v>
      </x:c>
    </x:row>
    <x:row r="36">
      <x:c r="A36" s="22" t="str">
        <x:v>131043164</x:v>
      </x:c>
      <x:c r="B36" s="24" t="n">
        <x:v>46251</x:v>
      </x:c>
      <x:c r="C36" s="24" t="n">
        <x:v>46252</x:v>
      </x:c>
      <x:c r="D36" s="36" t="n">
        <x:v>15</x:v>
      </x:c>
      <x:c r="E36" s="23" t="str">
        <x:v>Diodes &amp; Protection</x:v>
      </x:c>
      <x:c r="F36" s="23" t="str">
        <x:v>TPD2E001DRLR</x:v>
      </x:c>
      <x:c r="G36" s="23" t="str">
        <x:v>296-21883-1-ND</x:v>
      </x:c>
      <x:c r="H36" s="23" t="str">
        <x:v>Texas Instruments</x:v>
      </x:c>
      <x:c r="I36" s="25" t="n">
        <x:v>2</x:v>
      </x:c>
      <x:c r="J36" s="25" t="n">
        <x:v>2</x:v>
      </x:c>
      <x:c r="K36" s="25" t="n">
        <x:v>0</x:v>
      </x:c>
      <x:c r="L36" s="23" t="str">
        <x:v>TVS DIODE 5.5VWM SOT5</x:v>
      </x:c>
      <x:c r="M36" s="26" t="str">
        <x:v>DK_PACKLIST_131043164.pdf</x:v>
      </x:c>
    </x:row>
    <x:row r="37">
      <x:c r="A37" s="22" t="str">
        <x:v>131043164</x:v>
      </x:c>
      <x:c r="B37" s="24" t="n">
        <x:v>46251</x:v>
      </x:c>
      <x:c r="C37" s="24" t="n">
        <x:v>46252</x:v>
      </x:c>
      <x:c r="D37" s="36" t="n">
        <x:v>16</x:v>
      </x:c>
      <x:c r="E37" s="23" t="str">
        <x:v>Resistors</x:v>
      </x:c>
      <x:c r="F37" s="23" t="str">
        <x:v>RC0805FR-0727RL</x:v>
      </x:c>
      <x:c r="G37" s="23" t="str">
        <x:v>311-27.0CRCT-ND</x:v>
      </x:c>
      <x:c r="H37" s="23" t="str">
        <x:v>YAGEO</x:v>
      </x:c>
      <x:c r="I37" s="25" t="n">
        <x:v>10</x:v>
      </x:c>
      <x:c r="J37" s="25" t="n">
        <x:v>10</x:v>
      </x:c>
      <x:c r="K37" s="25" t="n">
        <x:v>0</x:v>
      </x:c>
      <x:c r="L37" s="23" t="str">
        <x:v>RES 27 OHM 1% 1/8W 0805</x:v>
      </x:c>
      <x:c r="M37" s="26" t="str">
        <x:v>DK_PACKLIST_131043164.pdf</x:v>
      </x:c>
    </x:row>
    <x:row r="38">
      <x:c r="A38" s="22" t="str">
        <x:v>131043164</x:v>
      </x:c>
      <x:c r="B38" s="24" t="n">
        <x:v>46251</x:v>
      </x:c>
      <x:c r="C38" s="24" t="n">
        <x:v>46252</x:v>
      </x:c>
      <x:c r="D38" s="36" t="n">
        <x:v>17</x:v>
      </x:c>
      <x:c r="E38" s="23" t="str">
        <x:v>Resistors</x:v>
      </x:c>
      <x:c r="F38" s="23" t="str">
        <x:v>RC0805FR-078K25L</x:v>
      </x:c>
      <x:c r="G38" s="23" t="str">
        <x:v>311-8.25KCRCT-ND</x:v>
      </x:c>
      <x:c r="H38" s="23" t="str">
        <x:v>YAGEO</x:v>
      </x:c>
      <x:c r="I38" s="25" t="n">
        <x:v>10</x:v>
      </x:c>
      <x:c r="J38" s="25" t="n">
        <x:v>10</x:v>
      </x:c>
      <x:c r="K38" s="25" t="n">
        <x:v>0</x:v>
      </x:c>
      <x:c r="L38" s="23" t="str">
        <x:v>RES 8.25K OHM 1% 1/8W 0805</x:v>
      </x:c>
      <x:c r="M38" s="26" t="str">
        <x:v>DK_PACKLIST_131043164.pdf</x:v>
      </x:c>
    </x:row>
    <x:row r="39">
      <x:c r="A39" s="22" t="str">
        <x:v>131043164</x:v>
      </x:c>
      <x:c r="B39" s="24" t="n">
        <x:v>46251</x:v>
      </x:c>
      <x:c r="C39" s="24" t="n">
        <x:v>46252</x:v>
      </x:c>
      <x:c r="D39" s="36" t="n">
        <x:v>18</x:v>
      </x:c>
      <x:c r="E39" s="23" t="str">
        <x:v>Resistors</x:v>
      </x:c>
      <x:c r="F39" s="23" t="str">
        <x:v>RC0805FR-0711KL</x:v>
      </x:c>
      <x:c r="G39" s="23" t="str">
        <x:v>311-11.0KCRCT-ND</x:v>
      </x:c>
      <x:c r="H39" s="23" t="str">
        <x:v>YAGEO</x:v>
      </x:c>
      <x:c r="I39" s="25" t="n">
        <x:v>10</x:v>
      </x:c>
      <x:c r="J39" s="25" t="n">
        <x:v>10</x:v>
      </x:c>
      <x:c r="K39" s="25" t="n">
        <x:v>0</x:v>
      </x:c>
      <x:c r="L39" s="23" t="str">
        <x:v>RES 11K OHM 1% 1/8W 0805</x:v>
      </x:c>
      <x:c r="M39" s="26" t="str">
        <x:v>DK_PACKLIST_131043164.pdf</x:v>
      </x:c>
    </x:row>
    <x:row r="40">
      <x:c r="A40" s="22" t="str">
        <x:v>131043164</x:v>
      </x:c>
      <x:c r="B40" s="24" t="n">
        <x:v>46251</x:v>
      </x:c>
      <x:c r="C40" s="24" t="n">
        <x:v>46252</x:v>
      </x:c>
      <x:c r="D40" s="36" t="n">
        <x:v>19</x:v>
      </x:c>
      <x:c r="E40" s="23" t="str">
        <x:v>Resistors</x:v>
      </x:c>
      <x:c r="F40" s="23" t="str">
        <x:v>RC0805FR-0716K2L</x:v>
      </x:c>
      <x:c r="G40" s="23" t="str">
        <x:v>311-16.2KCRCT-ND</x:v>
      </x:c>
      <x:c r="H40" s="23" t="str">
        <x:v>YAGEO</x:v>
      </x:c>
      <x:c r="I40" s="25" t="n">
        <x:v>10</x:v>
      </x:c>
      <x:c r="J40" s="25" t="n">
        <x:v>10</x:v>
      </x:c>
      <x:c r="K40" s="25" t="n">
        <x:v>0</x:v>
      </x:c>
      <x:c r="L40" s="23" t="str">
        <x:v>RES 16.2K OHM 1% 1/8W 0805</x:v>
      </x:c>
      <x:c r="M40" s="26" t="str">
        <x:v>DK_PACKLIST_131043164.pdf</x:v>
      </x:c>
    </x:row>
    <x:row r="41">
      <x:c r="A41" s="22" t="str">
        <x:v>131043164</x:v>
      </x:c>
      <x:c r="B41" s="24" t="n">
        <x:v>46251</x:v>
      </x:c>
      <x:c r="C41" s="24" t="n">
        <x:v>46252</x:v>
      </x:c>
      <x:c r="D41" s="36" t="n">
        <x:v>20</x:v>
      </x:c>
      <x:c r="E41" s="23" t="str">
        <x:v>Resistors</x:v>
      </x:c>
      <x:c r="F41" s="23" t="str">
        <x:v>RC0805FR-0721KL</x:v>
      </x:c>
      <x:c r="G41" s="23" t="str">
        <x:v>311-21.0KCRCT-ND</x:v>
      </x:c>
      <x:c r="H41" s="23" t="str">
        <x:v>YAGEO</x:v>
      </x:c>
      <x:c r="I41" s="25" t="n">
        <x:v>10</x:v>
      </x:c>
      <x:c r="J41" s="25" t="n">
        <x:v>10</x:v>
      </x:c>
      <x:c r="K41" s="25" t="n">
        <x:v>0</x:v>
      </x:c>
      <x:c r="L41" s="23" t="str">
        <x:v>RES 21K OHM 1% 1/8W 0805</x:v>
      </x:c>
      <x:c r="M41" s="26" t="str">
        <x:v>DK_PACKLIST_131043164.pdf</x:v>
      </x:c>
    </x:row>
    <x:row r="42">
      <x:c r="A42" s="22" t="str">
        <x:v>131043164</x:v>
      </x:c>
      <x:c r="B42" s="24" t="n">
        <x:v>46251</x:v>
      </x:c>
      <x:c r="C42" s="24" t="n">
        <x:v>46252</x:v>
      </x:c>
      <x:c r="D42" s="36" t="n">
        <x:v>21</x:v>
      </x:c>
      <x:c r="E42" s="23" t="str">
        <x:v>Resistors</x:v>
      </x:c>
      <x:c r="F42" s="23" t="str">
        <x:v>RC0805FR-0736K5L</x:v>
      </x:c>
      <x:c r="G42" s="23" t="str">
        <x:v>311-36.5KCRCT-ND</x:v>
      </x:c>
      <x:c r="H42" s="23" t="str">
        <x:v>YAGEO</x:v>
      </x:c>
      <x:c r="I42" s="25" t="n">
        <x:v>25</x:v>
      </x:c>
      <x:c r="J42" s="25" t="n">
        <x:v>25</x:v>
      </x:c>
      <x:c r="K42" s="25" t="n">
        <x:v>0</x:v>
      </x:c>
      <x:c r="L42" s="23" t="str">
        <x:v>RES 36.5K OHM 1% 1/8W 0805</x:v>
      </x:c>
      <x:c r="M42" s="26" t="str">
        <x:v>DK_PACKLIST_131043164.pdf</x:v>
      </x:c>
    </x:row>
    <x:row r="43">
      <x:c r="A43" s="22" t="str">
        <x:v>131043164</x:v>
      </x:c>
      <x:c r="B43" s="24" t="n">
        <x:v>46251</x:v>
      </x:c>
      <x:c r="C43" s="24" t="n">
        <x:v>46252</x:v>
      </x:c>
      <x:c r="D43" s="36" t="n">
        <x:v>22</x:v>
      </x:c>
      <x:c r="E43" s="23" t="str">
        <x:v>Resistors</x:v>
      </x:c>
      <x:c r="F43" s="23" t="str">
        <x:v>RC0805FR-07270KL</x:v>
      </x:c>
      <x:c r="G43" s="23" t="str">
        <x:v>311-270KCRCT-ND</x:v>
      </x:c>
      <x:c r="H43" s="23" t="str">
        <x:v>YAGEO</x:v>
      </x:c>
      <x:c r="I43" s="25" t="n">
        <x:v>10</x:v>
      </x:c>
      <x:c r="J43" s="25" t="n">
        <x:v>10</x:v>
      </x:c>
      <x:c r="K43" s="25" t="n">
        <x:v>0</x:v>
      </x:c>
      <x:c r="L43" s="23" t="str">
        <x:v>RES 270K OHM 1% 1/8W 0805</x:v>
      </x:c>
      <x:c r="M43" s="26" t="str">
        <x:v>DK_PACKLIST_131043164.pdf</x:v>
      </x:c>
    </x:row>
    <x:row r="44">
      <x:c r="A44" s="22" t="str">
        <x:v>131043164</x:v>
      </x:c>
      <x:c r="B44" s="24" t="n">
        <x:v>46251</x:v>
      </x:c>
      <x:c r="C44" s="24" t="n">
        <x:v>46252</x:v>
      </x:c>
      <x:c r="D44" s="36" t="n">
        <x:v>23</x:v>
      </x:c>
      <x:c r="E44" s="23" t="str">
        <x:v>Resistors</x:v>
      </x:c>
      <x:c r="F44" s="23" t="str">
        <x:v>RC0805FR-07274KL</x:v>
      </x:c>
      <x:c r="G44" s="23" t="str">
        <x:v>311-274KCRCT-ND</x:v>
      </x:c>
      <x:c r="H44" s="23" t="str">
        <x:v>YAGEO</x:v>
      </x:c>
      <x:c r="I44" s="25" t="n">
        <x:v>10</x:v>
      </x:c>
      <x:c r="J44" s="25" t="n">
        <x:v>10</x:v>
      </x:c>
      <x:c r="K44" s="25" t="n">
        <x:v>0</x:v>
      </x:c>
      <x:c r="L44" s="23" t="str">
        <x:v>RES 274K OHM 1% 1/8W 0805</x:v>
      </x:c>
      <x:c r="M44" s="26" t="str">
        <x:v>DK_PACKLIST_131043164.pdf</x:v>
      </x:c>
    </x:row>
    <x:row r="45">
      <x:c r="A45" s="22" t="str">
        <x:v>131043164</x:v>
      </x:c>
      <x:c r="B45" s="24" t="n">
        <x:v>46251</x:v>
      </x:c>
      <x:c r="C45" s="24" t="n">
        <x:v>46252</x:v>
      </x:c>
      <x:c r="D45" s="36" t="n">
        <x:v>24</x:v>
      </x:c>
      <x:c r="E45" s="23" t="str">
        <x:v>Capacitors</x:v>
      </x:c>
      <x:c r="F45" s="23" t="str">
        <x:v>C0805C104K3RACTU</x:v>
      </x:c>
      <x:c r="G45" s="23" t="str">
        <x:v>399-C0805C104K3RACTUCT-ND</x:v>
      </x:c>
      <x:c r="H45" s="23" t="str">
        <x:v>KEMET</x:v>
      </x:c>
      <x:c r="I45" s="25" t="n">
        <x:v>100</x:v>
      </x:c>
      <x:c r="J45" s="25" t="n">
        <x:v>100</x:v>
      </x:c>
      <x:c r="K45" s="25" t="n">
        <x:v>0</x:v>
      </x:c>
      <x:c r="L45" s="23" t="str">
        <x:v>CAP CER 0.1UF 25V X7R 0805</x:v>
      </x:c>
      <x:c r="M45" s="26" t="str">
        <x:v>DK_PACKLIST_131043164.pdf</x:v>
      </x:c>
    </x:row>
    <x:row r="46">
      <x:c r="A46" s="22" t="str">
        <x:v>131043164</x:v>
      </x:c>
      <x:c r="B46" s="24" t="n">
        <x:v>46251</x:v>
      </x:c>
      <x:c r="C46" s="24" t="n">
        <x:v>46252</x:v>
      </x:c>
      <x:c r="D46" s="36" t="n">
        <x:v>25</x:v>
      </x:c>
      <x:c r="E46" s="23" t="str">
        <x:v>Capacitors</x:v>
      </x:c>
      <x:c r="F46" s="23" t="str">
        <x:v>GRM21BR71C105KA01L</x:v>
      </x:c>
      <x:c r="G46" s="23" t="str">
        <x:v>490-1691-1-ND</x:v>
      </x:c>
      <x:c r="H46" s="23" t="str">
        <x:v>Murata Electronics</x:v>
      </x:c>
      <x:c r="I46" s="25" t="n">
        <x:v>50</x:v>
      </x:c>
      <x:c r="J46" s="25" t="n">
        <x:v>50</x:v>
      </x:c>
      <x:c r="K46" s="25" t="n">
        <x:v>0</x:v>
      </x:c>
      <x:c r="L46" s="23" t="str">
        <x:v>CAP CER 1UF 16V X7R 0805</x:v>
      </x:c>
      <x:c r="M46" s="26" t="str">
        <x:v>DK_PACKLIST_131043164.pdf</x:v>
      </x:c>
    </x:row>
    <x:row r="47">
      <x:c r="A47" s="22" t="str">
        <x:v>131043164</x:v>
      </x:c>
      <x:c r="B47" s="24" t="n">
        <x:v>46251</x:v>
      </x:c>
      <x:c r="C47" s="24" t="n">
        <x:v>46252</x:v>
      </x:c>
      <x:c r="D47" s="36" t="n">
        <x:v>26</x:v>
      </x:c>
      <x:c r="E47" s="23" t="str">
        <x:v>Capacitors</x:v>
      </x:c>
      <x:c r="F47" s="23" t="str">
        <x:v>GRM21BR71C225KA12L</x:v>
      </x:c>
      <x:c r="G47" s="23" t="str">
        <x:v>490-3906-1-ND</x:v>
      </x:c>
      <x:c r="H47" s="23" t="str">
        <x:v>Murata Electronics</x:v>
      </x:c>
      <x:c r="I47" s="25" t="n">
        <x:v>10</x:v>
      </x:c>
      <x:c r="J47" s="25" t="n">
        <x:v>10</x:v>
      </x:c>
      <x:c r="K47" s="25" t="n">
        <x:v>0</x:v>
      </x:c>
      <x:c r="L47" s="23" t="str">
        <x:v>CAP CER 2.2UF 16V X7R 0805</x:v>
      </x:c>
      <x:c r="M47" s="26" t="str">
        <x:v>DK_PACKLIST_131043164.pdf</x:v>
      </x:c>
    </x:row>
    <x:row r="48">
      <x:c r="A48" s="22" t="str">
        <x:v>131043164</x:v>
      </x:c>
      <x:c r="B48" s="24" t="n">
        <x:v>46251</x:v>
      </x:c>
      <x:c r="C48" s="24" t="n">
        <x:v>46252</x:v>
      </x:c>
      <x:c r="D48" s="36" t="n">
        <x:v>27</x:v>
      </x:c>
      <x:c r="E48" s="23" t="str">
        <x:v>Capacitors</x:v>
      </x:c>
      <x:c r="F48" s="23" t="str">
        <x:v>GRM21BR71C475KE51L</x:v>
      </x:c>
      <x:c r="G48" s="23" t="str">
        <x:v>490-14466-1-ND</x:v>
      </x:c>
      <x:c r="H48" s="23" t="str">
        <x:v>Murata Electronics</x:v>
      </x:c>
      <x:c r="I48" s="25" t="n">
        <x:v>10</x:v>
      </x:c>
      <x:c r="J48" s="25" t="n">
        <x:v>10</x:v>
      </x:c>
      <x:c r="K48" s="25" t="n">
        <x:v>0</x:v>
      </x:c>
      <x:c r="L48" s="23" t="str">
        <x:v>CAP CER 4.7UF 16V X7R 0805</x:v>
      </x:c>
      <x:c r="M48" s="26" t="str">
        <x:v>DK_PACKLIST_131043164.pdf</x:v>
      </x:c>
    </x:row>
    <x:row r="49">
      <x:c r="A49" s="22" t="str">
        <x:v>131043164</x:v>
      </x:c>
      <x:c r="B49" s="24" t="n">
        <x:v>46251</x:v>
      </x:c>
      <x:c r="C49" s="24" t="n">
        <x:v>46252</x:v>
      </x:c>
      <x:c r="D49" s="36" t="n">
        <x:v>28</x:v>
      </x:c>
      <x:c r="E49" s="23" t="str">
        <x:v>Capacitors</x:v>
      </x:c>
      <x:c r="F49" s="23" t="str">
        <x:v>0805YD106KAT2A</x:v>
      </x:c>
      <x:c r="G49" s="23" t="str">
        <x:v>478-5165-1-ND</x:v>
      </x:c>
      <x:c r="H49" s="23" t="str">
        <x:v>KYOCERA AVX</x:v>
      </x:c>
      <x:c r="I49" s="25" t="n">
        <x:v>50</x:v>
      </x:c>
      <x:c r="J49" s="25" t="n">
        <x:v>50</x:v>
      </x:c>
      <x:c r="K49" s="25" t="n">
        <x:v>0</x:v>
      </x:c>
      <x:c r="L49" s="23" t="str">
        <x:v>CAP CER 10UF 16V X5R 0805</x:v>
      </x:c>
      <x:c r="M49" s="26" t="str">
        <x:v>DK_PACKLIST_131043164.pdf</x:v>
      </x:c>
    </x:row>
    <x:row r="50">
      <x:c r="A50" s="22" t="str">
        <x:v>131043164</x:v>
      </x:c>
      <x:c r="B50" s="24" t="n">
        <x:v>46251</x:v>
      </x:c>
      <x:c r="C50" s="24" t="n">
        <x:v>46252</x:v>
      </x:c>
      <x:c r="D50" s="36" t="n">
        <x:v>29</x:v>
      </x:c>
      <x:c r="E50" s="23" t="str">
        <x:v>Capacitors</x:v>
      </x:c>
      <x:c r="F50" s="23" t="str">
        <x:v>C0805C103K5RACTU</x:v>
      </x:c>
      <x:c r="G50" s="23" t="str">
        <x:v>399-C0805C103K5RACTUCT-ND</x:v>
      </x:c>
      <x:c r="H50" s="23" t="str">
        <x:v>KEMET</x:v>
      </x:c>
      <x:c r="I50" s="25" t="n">
        <x:v>10</x:v>
      </x:c>
      <x:c r="J50" s="25" t="n">
        <x:v>10</x:v>
      </x:c>
      <x:c r="K50" s="25" t="n">
        <x:v>0</x:v>
      </x:c>
      <x:c r="L50" s="23" t="str">
        <x:v>CAP CER 10000PF 50V X7R 0805</x:v>
      </x:c>
      <x:c r="M50" s="26" t="str">
        <x:v>DK_PACKLIST_131043164.pdf</x:v>
      </x:c>
    </x:row>
    <x:row r="51">
      <x:c r="A51" s="22" t="str">
        <x:v>131043164</x:v>
      </x:c>
      <x:c r="B51" s="24" t="n">
        <x:v>46251</x:v>
      </x:c>
      <x:c r="C51" s="24" t="n">
        <x:v>46252</x:v>
      </x:c>
      <x:c r="D51" s="36" t="n">
        <x:v>30</x:v>
      </x:c>
      <x:c r="E51" s="23" t="str">
        <x:v>Capacitors</x:v>
      </x:c>
      <x:c r="F51" s="23" t="str">
        <x:v>C0805C220J5GACTU</x:v>
      </x:c>
      <x:c r="G51" s="23" t="str">
        <x:v>399-C0805C220J5GACTUCT-ND</x:v>
      </x:c>
      <x:c r="H51" s="23" t="str">
        <x:v>KEMET</x:v>
      </x:c>
      <x:c r="I51" s="25" t="n">
        <x:v>10</x:v>
      </x:c>
      <x:c r="J51" s="25" t="n">
        <x:v>10</x:v>
      </x:c>
      <x:c r="K51" s="25" t="n">
        <x:v>0</x:v>
      </x:c>
      <x:c r="L51" s="23" t="str">
        <x:v>CAP CER 22PF 50V C0G/NP0 0805</x:v>
      </x:c>
      <x:c r="M51" s="26" t="str">
        <x:v>DK_PACKLIST_131043164.pdf</x:v>
      </x:c>
    </x:row>
    <x:row r="52">
      <x:c r="A52" s="27" t="str">
        <x:v>131043164</x:v>
      </x:c>
      <x:c r="B52" s="29" t="n">
        <x:v>46251</x:v>
      </x:c>
      <x:c r="C52" s="29" t="n">
        <x:v>46252</x:v>
      </x:c>
      <x:c r="D52" s="37" t="n">
        <x:v>31</x:v>
      </x:c>
      <x:c r="E52" s="28" t="str">
        <x:v>Capacitors</x:v>
      </x:c>
      <x:c r="F52" s="28" t="str">
        <x:v>GRM21BR61C226ME44L</x:v>
      </x:c>
      <x:c r="G52" s="28" t="str">
        <x:v>490-10747-1-ND</x:v>
      </x:c>
      <x:c r="H52" s="28" t="str">
        <x:v>Murata Electronics</x:v>
      </x:c>
      <x:c r="I52" s="30" t="n">
        <x:v>10</x:v>
      </x:c>
      <x:c r="J52" s="30" t="n">
        <x:v>10</x:v>
      </x:c>
      <x:c r="K52" s="30" t="n">
        <x:v>0</x:v>
      </x:c>
      <x:c r="L52" s="28" t="str">
        <x:v>CAP CER 22UF 16V X5R 0805</x:v>
      </x:c>
      <x:c r="M52" s="31" t="str">
        <x:v>DK_PACKLIST_131043164.pdf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7" hidden="0" customWidth="1"/>
    <x:col min="3" max="3" width="48" hidden="0" customWidth="1"/>
    <x:col min="4" max="4" width="15" hidden="0" customWidth="1"/>
    <x:col min="5" max="5" width="15" hidden="0" customWidth="1"/>
    <x:col min="6" max="6" width="15" hidden="0" customWidth="1"/>
    <x:col min="7" max="7" width="58" hidden="0" customWidth="1"/>
  </x:cols>
  <x:sheetData>
    <x:row r="1" ht="28" customHeight="1">
      <x:c r="A1" s="45" t="str">
        <x:v>User-confirmed on-hand items not included in DigiKey shipment totals</x:v>
      </x:c>
      <x:c r="B1" s="45"/>
      <x:c r="C1" s="45"/>
      <x:c r="D1" s="45"/>
      <x:c r="E1" s="45"/>
      <x:c r="F1" s="45"/>
      <x:c r="G1" s="45"/>
    </x:row>
    <x:row r="3">
      <x:c r="A3" s="47" t="str">
        <x:v>Category</x:v>
      </x:c>
      <x:c r="B3" s="48" t="str">
        <x:v>Manufacturer Part Number</x:v>
      </x:c>
      <x:c r="C3" s="48" t="str">
        <x:v>Description</x:v>
      </x:c>
      <x:c r="D3" s="48" t="str">
        <x:v>Qty Confirmed</x:v>
      </x:c>
      <x:c r="E3" s="48" t="str">
        <x:v>Qty Used</x:v>
      </x:c>
      <x:c r="F3" s="48" t="str">
        <x:v>Qty Available</x:v>
      </x:c>
      <x:c r="G3" s="49" t="str">
        <x:v>Evidence / Notes</x:v>
      </x:c>
    </x:row>
    <x:row r="4">
      <x:c r="A4" s="27" t="str">
        <x:v>BLE MCU Modules</x:v>
      </x:c>
      <x:c r="B4" s="28" t="str">
        <x:v>MDBT50Q-1MV2</x:v>
      </x:c>
      <x:c r="C4" s="28" t="str">
        <x:v>Raytac nRF52840 BLE module with chip antenna</x:v>
      </x:c>
      <x:c r="D4" s="30" t="n">
        <x:v>3</x:v>
      </x:c>
      <x:c r="E4" s="40" t="n">
        <x:v>0</x:v>
      </x:c>
      <x:c r="F4" s="30" t="n">
        <x:f>MAX(0,D4-E4)</x:f>
        <x:v>3</x:v>
      </x:c>
      <x:c r="G4" s="44" t="str">
        <x:v>Quantity confirmed directly by the user on 2026-08-21; not present in the supplied packing lists.</x:v>
      </x:c>
    </x:row>
  </x:sheetData>
  <x:mergeCells>
    <x:mergeCell ref="A1:G1"/>
  </x:mergeCells>
  <x:dataValidations count="1">
    <x:dataValidation type="whole" operator="between" sqref="E4">
      <x:formula1>0</x:formula1>
      <x:formula2>100000</x:formula2>
    </x:dataValidation>
  </x:dataValidations>
  <x:pageMargins left="0.7" right="0.7" top="0.75" bottom="0.75" header="0.3" footer="0.3"/>
</x:worksheet>
</file>